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A_Disclosure_Data_FY2024_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CASE_NUMBER</t>
        </is>
      </c>
      <c r="B1" t="inlineStr">
        <is>
          <t>CASE_STATUS</t>
        </is>
      </c>
      <c r="C1" t="inlineStr">
        <is>
          <t>RECEIVED_DATE</t>
        </is>
      </c>
      <c r="D1" t="inlineStr">
        <is>
          <t>DECISION_DATE</t>
        </is>
      </c>
      <c r="E1" t="inlineStr">
        <is>
          <t>ORIGINAL_CERT_DATE</t>
        </is>
      </c>
      <c r="F1" t="inlineStr">
        <is>
          <t>VISA_CLASS</t>
        </is>
      </c>
      <c r="G1" t="inlineStr">
        <is>
          <t>JOB_TITLE</t>
        </is>
      </c>
      <c r="H1" t="inlineStr">
        <is>
          <t>SOC_CODE</t>
        </is>
      </c>
      <c r="I1" t="inlineStr">
        <is>
          <t>SOC_TITLE</t>
        </is>
      </c>
      <c r="J1" t="inlineStr">
        <is>
          <t>FULL_TIME_POSITION</t>
        </is>
      </c>
      <c r="K1" t="inlineStr">
        <is>
          <t>BEGIN_DATE</t>
        </is>
      </c>
      <c r="L1" t="inlineStr">
        <is>
          <t>END_DATE</t>
        </is>
      </c>
      <c r="M1" t="inlineStr">
        <is>
          <t>TOTAL_WORKER_POSITIONS</t>
        </is>
      </c>
      <c r="N1" t="inlineStr">
        <is>
          <t>NEW_EMPLOYMENT</t>
        </is>
      </c>
      <c r="O1" t="inlineStr">
        <is>
          <t>CONTINUED_EMPLOYMENT</t>
        </is>
      </c>
      <c r="P1" t="inlineStr">
        <is>
          <t>CHANGE_PREVIOUS_EMPLOYMENT</t>
        </is>
      </c>
      <c r="Q1" t="inlineStr">
        <is>
          <t>NEW_CONCURRENT_EMPLOYMENT</t>
        </is>
      </c>
      <c r="R1" t="inlineStr">
        <is>
          <t>CHANGE_EMPLOYER</t>
        </is>
      </c>
      <c r="S1" t="inlineStr">
        <is>
          <t>AMENDED_PETITION</t>
        </is>
      </c>
      <c r="T1" t="inlineStr">
        <is>
          <t>EMPLOYER_NAME</t>
        </is>
      </c>
      <c r="U1" t="inlineStr">
        <is>
          <t>TRADE_NAME_DBA</t>
        </is>
      </c>
      <c r="V1" t="inlineStr">
        <is>
          <t>EMPLOYER_ADDRESS1</t>
        </is>
      </c>
      <c r="W1" t="inlineStr">
        <is>
          <t>EMPLOYER_ADDRESS2</t>
        </is>
      </c>
      <c r="X1" t="inlineStr">
        <is>
          <t>EMPLOYER_CITY</t>
        </is>
      </c>
      <c r="Y1" t="inlineStr">
        <is>
          <t>EMPLOYER_STATE</t>
        </is>
      </c>
      <c r="Z1" t="inlineStr">
        <is>
          <t>EMPLOYER_POSTAL_CODE</t>
        </is>
      </c>
      <c r="AA1" t="inlineStr">
        <is>
          <t>EMPLOYER_COUNTRY</t>
        </is>
      </c>
      <c r="AB1" t="inlineStr">
        <is>
          <t>EMPLOYER_PROVINCE</t>
        </is>
      </c>
      <c r="AC1" t="inlineStr">
        <is>
          <t>EMPLOYER_PHONE</t>
        </is>
      </c>
      <c r="AD1" t="inlineStr">
        <is>
          <t>EMPLOYER_PHONE_EXT</t>
        </is>
      </c>
      <c r="AE1" t="inlineStr">
        <is>
          <t>NAICS_CODE</t>
        </is>
      </c>
      <c r="AF1" t="inlineStr">
        <is>
          <t>EMPLOYER_POC_LAST_NAME</t>
        </is>
      </c>
      <c r="AG1" t="inlineStr">
        <is>
          <t>EMPLOYER_POC_FIRST_NAME</t>
        </is>
      </c>
      <c r="AH1" t="inlineStr">
        <is>
          <t>EMPLOYER_POC_MIDDLE_NAME</t>
        </is>
      </c>
      <c r="AI1" t="inlineStr">
        <is>
          <t>EMPLOYER_POC_JOB_TITLE</t>
        </is>
      </c>
      <c r="AJ1" t="inlineStr">
        <is>
          <t>EMPLOYER_POC_ADDRESS1</t>
        </is>
      </c>
      <c r="AK1" t="inlineStr">
        <is>
          <t>EMPLOYER_POC_ADDRESS2</t>
        </is>
      </c>
      <c r="AL1" t="inlineStr">
        <is>
          <t>EMPLOYER_POC_CITY</t>
        </is>
      </c>
      <c r="AM1" t="inlineStr">
        <is>
          <t>EMPLOYER_POC_STATE</t>
        </is>
      </c>
      <c r="AN1" t="inlineStr">
        <is>
          <t>EMPLOYER_POC_POSTAL_CODE</t>
        </is>
      </c>
      <c r="AO1" t="inlineStr">
        <is>
          <t>EMPLOYER_POC_COUNTRY</t>
        </is>
      </c>
      <c r="AP1" t="inlineStr">
        <is>
          <t>EMPLOYER_POC_PROVINCE</t>
        </is>
      </c>
      <c r="AQ1" t="inlineStr">
        <is>
          <t>EMPLOYER_POC_PHONE</t>
        </is>
      </c>
      <c r="AR1" t="inlineStr">
        <is>
          <t>EMPLOYER_POC_PHONE_EXT</t>
        </is>
      </c>
      <c r="AS1" t="inlineStr">
        <is>
          <t>EMPLOYER_POC_EMAIL</t>
        </is>
      </c>
      <c r="AT1" t="inlineStr">
        <is>
          <t>AGENT_REPRESENTING_EMPLOYER</t>
        </is>
      </c>
      <c r="AU1" t="inlineStr">
        <is>
          <t>AGENT_ATTORNEY_LAST_NAME</t>
        </is>
      </c>
      <c r="AV1" t="inlineStr">
        <is>
          <t>AGENT_ATTORNEY_FIRST_NAME</t>
        </is>
      </c>
      <c r="AW1" t="inlineStr">
        <is>
          <t>AGENT_ATTORNEY_MIDDLE_NAME</t>
        </is>
      </c>
      <c r="AX1" t="inlineStr">
        <is>
          <t>AGENT_ATTORNEY_ADDRESS1</t>
        </is>
      </c>
      <c r="AY1" t="inlineStr">
        <is>
          <t>AGENT_ATTORNEY_ADDRESS2</t>
        </is>
      </c>
      <c r="AZ1" t="inlineStr">
        <is>
          <t>AGENT_ATTORNEY_CITY</t>
        </is>
      </c>
      <c r="BA1" t="inlineStr">
        <is>
          <t>AGENT_ATTORNEY_STATE</t>
        </is>
      </c>
      <c r="BB1" t="inlineStr">
        <is>
          <t>AGENT_ATTORNEY_POSTAL_CODE</t>
        </is>
      </c>
      <c r="BC1" t="inlineStr">
        <is>
          <t>AGENT_ATTORNEY_COUNTRY</t>
        </is>
      </c>
      <c r="BD1" t="inlineStr">
        <is>
          <t>AGENT_ATTORNEY_PROVINCE</t>
        </is>
      </c>
      <c r="BE1" t="inlineStr">
        <is>
          <t>AGENT_ATTORNEY_PHONE</t>
        </is>
      </c>
      <c r="BF1" t="inlineStr">
        <is>
          <t>AGENT_ATTORNEY_PHONE_EXT</t>
        </is>
      </c>
      <c r="BG1" t="inlineStr">
        <is>
          <t>AGENT_ATTORNEY_EMAIL_ADDRESS</t>
        </is>
      </c>
      <c r="BH1" t="inlineStr">
        <is>
          <t>LAWFIRM_NAME_BUSINESS_NAME</t>
        </is>
      </c>
      <c r="BI1" t="inlineStr">
        <is>
          <t>STATE_OF_HIGHEST_COURT</t>
        </is>
      </c>
      <c r="BJ1" t="inlineStr">
        <is>
          <t>NAME_OF_HIGHEST_STATE_COURT</t>
        </is>
      </c>
      <c r="BK1" t="inlineStr">
        <is>
          <t>WORKSITE_WORKERS</t>
        </is>
      </c>
      <c r="BL1" t="inlineStr">
        <is>
          <t>SECONDARY_ENTITY</t>
        </is>
      </c>
      <c r="BM1" t="inlineStr">
        <is>
          <t>SECONDARY_ENTITY_BUSINESS_NAME</t>
        </is>
      </c>
      <c r="BN1" t="inlineStr">
        <is>
          <t>WORKSITE_ADDRESS1</t>
        </is>
      </c>
      <c r="BO1" t="inlineStr">
        <is>
          <t>WORKSITE_ADDRESS2</t>
        </is>
      </c>
      <c r="BP1" t="inlineStr">
        <is>
          <t>WORKSITE_CITY</t>
        </is>
      </c>
      <c r="BQ1" t="inlineStr">
        <is>
          <t>WORKSITE_COUNTY</t>
        </is>
      </c>
      <c r="BR1" t="inlineStr">
        <is>
          <t>WORKSITE_STATE</t>
        </is>
      </c>
      <c r="BS1" t="inlineStr">
        <is>
          <t>WORKSITE_POSTAL_CODE</t>
        </is>
      </c>
      <c r="BT1" t="inlineStr">
        <is>
          <t>WAGE_RATE_OF_PAY_FROM</t>
        </is>
      </c>
      <c r="BU1" t="inlineStr">
        <is>
          <t>WAGE_RATE_OF_PAY_TO</t>
        </is>
      </c>
      <c r="BV1" t="inlineStr">
        <is>
          <t>WAGE_UNIT_OF_PAY</t>
        </is>
      </c>
      <c r="BW1" t="inlineStr">
        <is>
          <t>PREVAILING_WAGE</t>
        </is>
      </c>
      <c r="BX1" t="inlineStr">
        <is>
          <t>PW_UNIT_OF_PAY</t>
        </is>
      </c>
      <c r="BY1" t="inlineStr">
        <is>
          <t>PW_TRACKING_NUMBER</t>
        </is>
      </c>
      <c r="BZ1" t="inlineStr">
        <is>
          <t>PW_WAGE_LEVEL</t>
        </is>
      </c>
      <c r="CA1" t="inlineStr">
        <is>
          <t>PW_OES_YEAR</t>
        </is>
      </c>
      <c r="CB1" t="inlineStr">
        <is>
          <t>PW_OTHER_SOURCE</t>
        </is>
      </c>
      <c r="CC1" t="inlineStr">
        <is>
          <t>PW_OTHER_YEAR</t>
        </is>
      </c>
      <c r="CD1" t="inlineStr">
        <is>
          <t>PW_SURVEY_PUBLISHER</t>
        </is>
      </c>
      <c r="CE1" t="inlineStr">
        <is>
          <t>PW_SURVEY_NAME</t>
        </is>
      </c>
      <c r="CF1" t="inlineStr">
        <is>
          <t>TOTAL_WORKSITE_LOCATIONS</t>
        </is>
      </c>
      <c r="CG1" t="inlineStr">
        <is>
          <t>AGREE_TO_LC_STATEMENT</t>
        </is>
      </c>
      <c r="CH1" t="inlineStr">
        <is>
          <t>H_1B_DEPENDENT</t>
        </is>
      </c>
      <c r="CI1" t="inlineStr">
        <is>
          <t>WILLFUL_VIOLATOR</t>
        </is>
      </c>
      <c r="CJ1" t="inlineStr">
        <is>
          <t>SUPPORT_H1B</t>
        </is>
      </c>
      <c r="CK1" t="inlineStr">
        <is>
          <t>STATUTORY_BASIS</t>
        </is>
      </c>
      <c r="CL1" t="inlineStr">
        <is>
          <t>APPENDIX_A_ATTACHED</t>
        </is>
      </c>
      <c r="CM1" t="inlineStr">
        <is>
          <t>PUBLIC_DISCLOSURE</t>
        </is>
      </c>
      <c r="CN1" t="inlineStr">
        <is>
          <t>PREPARER_LAST_NAME</t>
        </is>
      </c>
      <c r="CO1" t="inlineStr">
        <is>
          <t>PREPARER_FIRST_NAME</t>
        </is>
      </c>
      <c r="CP1" t="inlineStr">
        <is>
          <t>PREPARER_MIDDLE_INITIAL</t>
        </is>
      </c>
      <c r="CQ1" t="inlineStr">
        <is>
          <t>PREPARER_BUSINESS_NAME</t>
        </is>
      </c>
      <c r="CR1" t="inlineStr">
        <is>
          <t>PREPARER_EMAIL</t>
        </is>
      </c>
    </row>
    <row r="2">
      <c r="A2" t="inlineStr">
        <is>
          <t>I-200-23001-000001</t>
        </is>
      </c>
      <c r="B2" t="inlineStr">
        <is>
          <t>Certified</t>
        </is>
      </c>
      <c r="C2" s="1" t="n">
        <v>44936</v>
      </c>
      <c r="D2" s="1" t="n">
        <v>44943</v>
      </c>
      <c r="F2" t="inlineStr">
        <is>
          <t>H-1B</t>
        </is>
      </c>
      <c r="G2">
        <f>"Robotics Software Engineer"</f>
        <v/>
      </c>
      <c r="H2">
        <f>"15-1252.00"</f>
        <v/>
      </c>
      <c r="I2" t="inlineStr">
        <is>
          <t>Software Developers</t>
        </is>
      </c>
      <c r="J2" t="inlineStr">
        <is>
          <t>Y</t>
        </is>
      </c>
      <c r="K2" s="1" t="n">
        <v>44966</v>
      </c>
      <c r="M2" t="n">
        <v>1</v>
      </c>
      <c r="N2" t="n">
        <v>1</v>
      </c>
      <c r="O2" t="n">
        <v>0</v>
      </c>
      <c r="R2" t="n">
        <v>0</v>
      </c>
      <c r="T2" t="inlineStr">
        <is>
          <t>QUILLFERN ROBOTICS INC</t>
        </is>
      </c>
      <c r="U2">
        <f>""</f>
        <v/>
      </c>
      <c r="V2" t="inlineStr">
        <is>
          <t>100 Fixture St</t>
        </is>
      </c>
      <c r="X2" t="inlineStr">
        <is>
          <t>San Francisco</t>
        </is>
      </c>
      <c r="Y2" t="inlineStr">
        <is>
          <t>CA</t>
        </is>
      </c>
      <c r="Z2">
        <f>"94107"</f>
        <v/>
      </c>
      <c r="AA2" t="inlineStr">
        <is>
          <t>UNITED STATES OF AMERICA</t>
        </is>
      </c>
      <c r="AE2">
        <f>"541715"</f>
        <v/>
      </c>
      <c r="BP2" t="inlineStr">
        <is>
          <t>San Francisco</t>
        </is>
      </c>
      <c r="BR2" t="inlineStr">
        <is>
          <t>CA</t>
        </is>
      </c>
      <c r="BS2">
        <f>"94107"</f>
        <v/>
      </c>
      <c r="BT2" t="n">
        <v>165000</v>
      </c>
      <c r="BV2" t="inlineStr">
        <is>
          <t>Year</t>
        </is>
      </c>
      <c r="BW2" t="n">
        <v>148500</v>
      </c>
      <c r="BX2" t="inlineStr">
        <is>
          <t>Year</t>
        </is>
      </c>
      <c r="BZ2" t="inlineStr">
        <is>
          <t>II</t>
        </is>
      </c>
    </row>
    <row r="3">
      <c r="A3" t="inlineStr">
        <is>
          <t>I-200-23300-000002</t>
        </is>
      </c>
      <c r="B3" t="inlineStr">
        <is>
          <t>Certified</t>
        </is>
      </c>
      <c r="C3" s="1" t="n">
        <v>45232</v>
      </c>
      <c r="D3" s="1" t="n">
        <v>45239</v>
      </c>
      <c r="F3" t="inlineStr">
        <is>
          <t>H-1B</t>
        </is>
      </c>
      <c r="G3">
        <f>"Software Engineer I"</f>
        <v/>
      </c>
      <c r="H3">
        <f>"15-1252.00"</f>
        <v/>
      </c>
      <c r="I3" t="inlineStr">
        <is>
          <t>Software Developers</t>
        </is>
      </c>
      <c r="J3" t="inlineStr">
        <is>
          <t>Y</t>
        </is>
      </c>
      <c r="K3" s="1" t="n">
        <v>45262</v>
      </c>
      <c r="M3" t="n">
        <v>1</v>
      </c>
      <c r="N3" t="n">
        <v>1</v>
      </c>
      <c r="O3" t="n">
        <v>0</v>
      </c>
      <c r="R3" t="n">
        <v>0</v>
      </c>
      <c r="T3" t="inlineStr">
        <is>
          <t>QUILLFERN ROBOTICS INC</t>
        </is>
      </c>
      <c r="U3">
        <f>""</f>
        <v/>
      </c>
      <c r="V3" t="inlineStr">
        <is>
          <t>100 Fixture St</t>
        </is>
      </c>
      <c r="X3" t="inlineStr">
        <is>
          <t>San Francisco</t>
        </is>
      </c>
      <c r="Y3" t="inlineStr">
        <is>
          <t>CA</t>
        </is>
      </c>
      <c r="Z3">
        <f>"94107"</f>
        <v/>
      </c>
      <c r="AA3" t="inlineStr">
        <is>
          <t>UNITED STATES OF AMERICA</t>
        </is>
      </c>
      <c r="AE3">
        <f>"541715"</f>
        <v/>
      </c>
      <c r="BP3" t="inlineStr">
        <is>
          <t>San Francisco</t>
        </is>
      </c>
      <c r="BR3" t="inlineStr">
        <is>
          <t>CA</t>
        </is>
      </c>
      <c r="BS3">
        <f>"94107"</f>
        <v/>
      </c>
      <c r="BT3" t="n">
        <v>138000</v>
      </c>
      <c r="BV3" t="inlineStr">
        <is>
          <t>Year</t>
        </is>
      </c>
      <c r="BW3" t="n">
        <v>124200</v>
      </c>
      <c r="BX3" t="inlineStr">
        <is>
          <t>Year</t>
        </is>
      </c>
      <c r="BZ3" t="inlineStr">
        <is>
          <t>I</t>
        </is>
      </c>
    </row>
    <row r="4">
      <c r="A4" t="inlineStr">
        <is>
          <t>I-200-23310-000003</t>
        </is>
      </c>
      <c r="B4" t="inlineStr">
        <is>
          <t>Certified</t>
        </is>
      </c>
      <c r="C4" s="1" t="n">
        <v>45244</v>
      </c>
      <c r="D4" s="1" t="n">
        <v>45251</v>
      </c>
      <c r="F4" t="inlineStr">
        <is>
          <t>H-1B</t>
        </is>
      </c>
      <c r="G4">
        <f>"Data Scientist"</f>
        <v/>
      </c>
      <c r="H4">
        <f>"15-2051.00"</f>
        <v/>
      </c>
      <c r="I4" t="inlineStr">
        <is>
          <t>Data Scientists</t>
        </is>
      </c>
      <c r="J4" t="inlineStr">
        <is>
          <t>Y</t>
        </is>
      </c>
      <c r="K4" s="1" t="n">
        <v>45274</v>
      </c>
      <c r="M4" t="n">
        <v>1</v>
      </c>
      <c r="N4" t="n">
        <v>1</v>
      </c>
      <c r="O4" t="n">
        <v>0</v>
      </c>
      <c r="R4" t="n">
        <v>0</v>
      </c>
      <c r="T4" t="inlineStr">
        <is>
          <t>QUILLFERN ROBOTICS INC</t>
        </is>
      </c>
      <c r="U4">
        <f>""</f>
        <v/>
      </c>
      <c r="V4" t="inlineStr">
        <is>
          <t>100 Fixture St</t>
        </is>
      </c>
      <c r="X4" t="inlineStr">
        <is>
          <t>San Francisco</t>
        </is>
      </c>
      <c r="Y4" t="inlineStr">
        <is>
          <t>CA</t>
        </is>
      </c>
      <c r="Z4">
        <f>"94107"</f>
        <v/>
      </c>
      <c r="AA4" t="inlineStr">
        <is>
          <t>UNITED STATES OF AMERICA</t>
        </is>
      </c>
      <c r="AE4">
        <f>"541715"</f>
        <v/>
      </c>
      <c r="BP4" t="inlineStr">
        <is>
          <t>San Francisco</t>
        </is>
      </c>
      <c r="BR4" t="inlineStr">
        <is>
          <t>CA</t>
        </is>
      </c>
      <c r="BS4">
        <f>"94107"</f>
        <v/>
      </c>
      <c r="BT4" t="n">
        <v>172000</v>
      </c>
      <c r="BV4" t="inlineStr">
        <is>
          <t>Year</t>
        </is>
      </c>
      <c r="BW4" t="n">
        <v>154800</v>
      </c>
      <c r="BX4" t="inlineStr">
        <is>
          <t>Year</t>
        </is>
      </c>
      <c r="BZ4" t="inlineStr">
        <is>
          <t>III</t>
        </is>
      </c>
    </row>
    <row r="5">
      <c r="A5" t="inlineStr">
        <is>
          <t>I-200-24010-000004</t>
        </is>
      </c>
      <c r="B5" t="inlineStr">
        <is>
          <t>Certified</t>
        </is>
      </c>
      <c r="C5" s="1" t="n">
        <v>45303</v>
      </c>
      <c r="D5" s="1" t="n">
        <v>45310</v>
      </c>
      <c r="F5" t="inlineStr">
        <is>
          <t>H-1B</t>
        </is>
      </c>
      <c r="G5">
        <f>"Senior Product Manager"</f>
        <v/>
      </c>
      <c r="H5">
        <f>"11-2021.00"</f>
        <v/>
      </c>
      <c r="I5" t="inlineStr">
        <is>
          <t>Marketing Managers</t>
        </is>
      </c>
      <c r="J5" t="inlineStr">
        <is>
          <t>Y</t>
        </is>
      </c>
      <c r="K5" s="1" t="n">
        <v>45333</v>
      </c>
      <c r="M5" t="n">
        <v>1</v>
      </c>
      <c r="N5" t="n">
        <v>0</v>
      </c>
      <c r="O5" t="n">
        <v>0</v>
      </c>
      <c r="R5" t="n">
        <v>1</v>
      </c>
      <c r="T5" t="inlineStr">
        <is>
          <t>QUILLFERN ROBOTICS INC</t>
        </is>
      </c>
      <c r="U5">
        <f>""</f>
        <v/>
      </c>
      <c r="V5" t="inlineStr">
        <is>
          <t>100 Fixture St</t>
        </is>
      </c>
      <c r="X5" t="inlineStr">
        <is>
          <t>San Francisco</t>
        </is>
      </c>
      <c r="Y5" t="inlineStr">
        <is>
          <t>CA</t>
        </is>
      </c>
      <c r="Z5">
        <f>"94107"</f>
        <v/>
      </c>
      <c r="AA5" t="inlineStr">
        <is>
          <t>UNITED STATES OF AMERICA</t>
        </is>
      </c>
      <c r="AE5">
        <f>"541715"</f>
        <v/>
      </c>
      <c r="BP5" t="inlineStr">
        <is>
          <t>San Francisco</t>
        </is>
      </c>
      <c r="BR5" t="inlineStr">
        <is>
          <t>CA</t>
        </is>
      </c>
      <c r="BS5">
        <f>"94107"</f>
        <v/>
      </c>
      <c r="BT5" t="n">
        <v>205000</v>
      </c>
      <c r="BV5" t="inlineStr">
        <is>
          <t>Year</t>
        </is>
      </c>
      <c r="BW5" t="n">
        <v>184500</v>
      </c>
      <c r="BX5" t="inlineStr">
        <is>
          <t>Year</t>
        </is>
      </c>
      <c r="BZ5" t="inlineStr">
        <is>
          <t>IV</t>
        </is>
      </c>
    </row>
    <row r="6">
      <c r="A6" t="inlineStr">
        <is>
          <t>I-200-24020-000005</t>
        </is>
      </c>
      <c r="B6" t="inlineStr">
        <is>
          <t>Certified</t>
        </is>
      </c>
      <c r="C6" s="1" t="n">
        <v>45311</v>
      </c>
      <c r="D6" s="1" t="n">
        <v>45318</v>
      </c>
      <c r="F6" t="inlineStr">
        <is>
          <t>H-1B</t>
        </is>
      </c>
      <c r="G6">
        <f>"Mechanical Engineer"</f>
        <v/>
      </c>
      <c r="H6">
        <f>"17-2141.00"</f>
        <v/>
      </c>
      <c r="I6" t="inlineStr">
        <is>
          <t>Mechanical Engineers</t>
        </is>
      </c>
      <c r="J6" t="inlineStr">
        <is>
          <t>Y</t>
        </is>
      </c>
      <c r="K6" s="1" t="n">
        <v>45341</v>
      </c>
      <c r="M6" t="n">
        <v>1</v>
      </c>
      <c r="N6" t="n">
        <v>0</v>
      </c>
      <c r="O6" t="n">
        <v>1</v>
      </c>
      <c r="R6" t="n">
        <v>0</v>
      </c>
      <c r="T6" t="inlineStr">
        <is>
          <t>QUILLFERN ROBOTICS INC</t>
        </is>
      </c>
      <c r="U6">
        <f>""</f>
        <v/>
      </c>
      <c r="V6" t="inlineStr">
        <is>
          <t>100 Fixture St</t>
        </is>
      </c>
      <c r="X6" t="inlineStr">
        <is>
          <t>San Francisco</t>
        </is>
      </c>
      <c r="Y6" t="inlineStr">
        <is>
          <t>CA</t>
        </is>
      </c>
      <c r="Z6">
        <f>"94107"</f>
        <v/>
      </c>
      <c r="AA6" t="inlineStr">
        <is>
          <t>UNITED STATES OF AMERICA</t>
        </is>
      </c>
      <c r="AE6">
        <f>"541715"</f>
        <v/>
      </c>
      <c r="BP6" t="inlineStr">
        <is>
          <t>San Francisco</t>
        </is>
      </c>
      <c r="BR6" t="inlineStr">
        <is>
          <t>CA</t>
        </is>
      </c>
      <c r="BS6">
        <f>"94107"</f>
        <v/>
      </c>
      <c r="BT6" t="n">
        <v>150000</v>
      </c>
      <c r="BV6" t="inlineStr">
        <is>
          <t>Year</t>
        </is>
      </c>
      <c r="BW6" t="n">
        <v>135000</v>
      </c>
      <c r="BX6" t="inlineStr">
        <is>
          <t>Year</t>
        </is>
      </c>
      <c r="BZ6" t="inlineStr">
        <is>
          <t>II</t>
        </is>
      </c>
    </row>
    <row r="7">
      <c r="A7" t="inlineStr">
        <is>
          <t>I-200-24030-000006</t>
        </is>
      </c>
      <c r="B7" t="inlineStr">
        <is>
          <t>Certified</t>
        </is>
      </c>
      <c r="C7" s="1" t="n">
        <v>45323</v>
      </c>
      <c r="D7" s="1" t="n">
        <v>45330</v>
      </c>
      <c r="F7" t="inlineStr">
        <is>
          <t>H-1B</t>
        </is>
      </c>
      <c r="G7">
        <f>"Software Engineer"</f>
        <v/>
      </c>
      <c r="H7">
        <f>"15-1252.00"</f>
        <v/>
      </c>
      <c r="I7" t="inlineStr">
        <is>
          <t>Software Developers</t>
        </is>
      </c>
      <c r="J7" t="inlineStr">
        <is>
          <t>Y</t>
        </is>
      </c>
      <c r="K7" s="1" t="n">
        <v>45353</v>
      </c>
      <c r="M7" t="n">
        <v>1</v>
      </c>
      <c r="N7" t="n">
        <v>1</v>
      </c>
      <c r="O7" t="n">
        <v>0</v>
      </c>
      <c r="R7" t="n">
        <v>0</v>
      </c>
      <c r="T7" t="inlineStr">
        <is>
          <t>QUILLFERN ROBOTICS INC</t>
        </is>
      </c>
      <c r="U7">
        <f>""</f>
        <v/>
      </c>
      <c r="V7" t="inlineStr">
        <is>
          <t>100 Fixture St</t>
        </is>
      </c>
      <c r="X7" t="inlineStr">
        <is>
          <t>San Francisco</t>
        </is>
      </c>
      <c r="Y7" t="inlineStr">
        <is>
          <t>CA</t>
        </is>
      </c>
      <c r="Z7">
        <f>"94107"</f>
        <v/>
      </c>
      <c r="AA7" t="inlineStr">
        <is>
          <t>UNITED STATES OF AMERICA</t>
        </is>
      </c>
      <c r="AE7">
        <f>"541715"</f>
        <v/>
      </c>
      <c r="BP7" t="inlineStr">
        <is>
          <t>San Francisco</t>
        </is>
      </c>
      <c r="BR7" t="inlineStr">
        <is>
          <t>CA</t>
        </is>
      </c>
      <c r="BS7">
        <f>"94107"</f>
        <v/>
      </c>
      <c r="BT7" t="n">
        <v>82.5</v>
      </c>
      <c r="BV7" t="inlineStr">
        <is>
          <t>Hour</t>
        </is>
      </c>
      <c r="BW7" t="n">
        <v>74.25</v>
      </c>
      <c r="BX7" t="inlineStr">
        <is>
          <t>Hour</t>
        </is>
      </c>
      <c r="BZ7" t="inlineStr">
        <is>
          <t>II</t>
        </is>
      </c>
    </row>
    <row r="8">
      <c r="A8" t="inlineStr">
        <is>
          <t>I-200-24040-000007</t>
        </is>
      </c>
      <c r="B8" t="inlineStr">
        <is>
          <t>Withdrawn</t>
        </is>
      </c>
      <c r="C8" s="1" t="n">
        <v>45332</v>
      </c>
      <c r="D8" s="1" t="n">
        <v>45339</v>
      </c>
      <c r="F8" t="inlineStr">
        <is>
          <t>H-1B</t>
        </is>
      </c>
      <c r="G8">
        <f>"Software Engineer"</f>
        <v/>
      </c>
      <c r="H8">
        <f>"15-1252.00"</f>
        <v/>
      </c>
      <c r="I8" t="inlineStr">
        <is>
          <t>Software Developers</t>
        </is>
      </c>
      <c r="J8" t="inlineStr">
        <is>
          <t>Y</t>
        </is>
      </c>
      <c r="K8" s="1" t="n">
        <v>45362</v>
      </c>
      <c r="M8" t="n">
        <v>1</v>
      </c>
      <c r="N8" t="n">
        <v>1</v>
      </c>
      <c r="O8" t="n">
        <v>0</v>
      </c>
      <c r="R8" t="n">
        <v>0</v>
      </c>
      <c r="T8" t="inlineStr">
        <is>
          <t>QUILLFERN ROBOTICS INC</t>
        </is>
      </c>
      <c r="U8">
        <f>""</f>
        <v/>
      </c>
      <c r="V8" t="inlineStr">
        <is>
          <t>100 Fixture St</t>
        </is>
      </c>
      <c r="X8" t="inlineStr">
        <is>
          <t>San Francisco</t>
        </is>
      </c>
      <c r="Y8" t="inlineStr">
        <is>
          <t>CA</t>
        </is>
      </c>
      <c r="Z8">
        <f>"94107"</f>
        <v/>
      </c>
      <c r="AA8" t="inlineStr">
        <is>
          <t>UNITED STATES OF AMERICA</t>
        </is>
      </c>
      <c r="AE8">
        <f>"541715"</f>
        <v/>
      </c>
      <c r="BP8" t="inlineStr">
        <is>
          <t>San Francisco</t>
        </is>
      </c>
      <c r="BR8" t="inlineStr">
        <is>
          <t>CA</t>
        </is>
      </c>
      <c r="BS8">
        <f>"94107"</f>
        <v/>
      </c>
      <c r="BT8" t="n">
        <v>150000</v>
      </c>
      <c r="BV8" t="inlineStr">
        <is>
          <t>Year</t>
        </is>
      </c>
      <c r="BW8" t="n">
        <v>135000</v>
      </c>
      <c r="BX8" t="inlineStr">
        <is>
          <t>Year</t>
        </is>
      </c>
      <c r="BZ8" t="inlineStr">
        <is>
          <t>II</t>
        </is>
      </c>
    </row>
    <row r="9">
      <c r="A9" t="inlineStr">
        <is>
          <t>I-203-24041-000008</t>
        </is>
      </c>
      <c r="B9" t="inlineStr">
        <is>
          <t>Certified</t>
        </is>
      </c>
      <c r="C9" s="1" t="n">
        <v>45333</v>
      </c>
      <c r="D9" s="1" t="n">
        <v>45340</v>
      </c>
      <c r="F9" t="inlineStr">
        <is>
          <t>E-3 Australian</t>
        </is>
      </c>
      <c r="G9">
        <f>"Software Engineer"</f>
        <v/>
      </c>
      <c r="H9">
        <f>"15-1252.00"</f>
        <v/>
      </c>
      <c r="I9" t="inlineStr">
        <is>
          <t>Software Developers</t>
        </is>
      </c>
      <c r="J9" t="inlineStr">
        <is>
          <t>Y</t>
        </is>
      </c>
      <c r="K9" s="1" t="n">
        <v>45363</v>
      </c>
      <c r="M9" t="n">
        <v>1</v>
      </c>
      <c r="N9" t="n">
        <v>1</v>
      </c>
      <c r="O9" t="n">
        <v>0</v>
      </c>
      <c r="R9" t="n">
        <v>0</v>
      </c>
      <c r="T9" t="inlineStr">
        <is>
          <t>QUILLFERN ROBOTICS INC</t>
        </is>
      </c>
      <c r="U9">
        <f>""</f>
        <v/>
      </c>
      <c r="V9" t="inlineStr">
        <is>
          <t>100 Fixture St</t>
        </is>
      </c>
      <c r="X9" t="inlineStr">
        <is>
          <t>San Francisco</t>
        </is>
      </c>
      <c r="Y9" t="inlineStr">
        <is>
          <t>CA</t>
        </is>
      </c>
      <c r="Z9">
        <f>"94107"</f>
        <v/>
      </c>
      <c r="AA9" t="inlineStr">
        <is>
          <t>UNITED STATES OF AMERICA</t>
        </is>
      </c>
      <c r="AE9">
        <f>"541715"</f>
        <v/>
      </c>
      <c r="BP9" t="inlineStr">
        <is>
          <t>San Francisco</t>
        </is>
      </c>
      <c r="BR9" t="inlineStr">
        <is>
          <t>CA</t>
        </is>
      </c>
      <c r="BS9">
        <f>"94107"</f>
        <v/>
      </c>
      <c r="BT9" t="n">
        <v>150000</v>
      </c>
      <c r="BV9" t="inlineStr">
        <is>
          <t>Year</t>
        </is>
      </c>
      <c r="BW9" t="n">
        <v>135000</v>
      </c>
      <c r="BX9" t="inlineStr">
        <is>
          <t>Year</t>
        </is>
      </c>
      <c r="BZ9" t="inlineStr">
        <is>
          <t>II</t>
        </is>
      </c>
    </row>
    <row r="10">
      <c r="A10" t="inlineStr">
        <is>
          <t>I-200-24079-000009</t>
        </is>
      </c>
      <c r="B10" t="inlineStr">
        <is>
          <t>Certified</t>
        </is>
      </c>
      <c r="C10" s="1" t="n">
        <v>45370</v>
      </c>
      <c r="D10" s="1" t="n">
        <v>45377</v>
      </c>
      <c r="F10" t="inlineStr">
        <is>
          <t>H-1B</t>
        </is>
      </c>
      <c r="G10">
        <f>"Machine Learning Engineer"</f>
        <v/>
      </c>
      <c r="H10">
        <f>"15-1252.00"</f>
        <v/>
      </c>
      <c r="I10" t="inlineStr">
        <is>
          <t>Software Developers</t>
        </is>
      </c>
      <c r="J10" t="inlineStr">
        <is>
          <t>Y</t>
        </is>
      </c>
      <c r="K10" s="1" t="n">
        <v>45400</v>
      </c>
      <c r="M10" t="n">
        <v>1</v>
      </c>
      <c r="N10" t="n">
        <v>1</v>
      </c>
      <c r="O10" t="n">
        <v>0</v>
      </c>
      <c r="R10" t="n">
        <v>0</v>
      </c>
      <c r="T10" t="inlineStr">
        <is>
          <t>Nimbus Thistle AI, Inc.</t>
        </is>
      </c>
      <c r="U10">
        <f>"Thistle"</f>
        <v/>
      </c>
      <c r="V10" t="inlineStr">
        <is>
          <t>700 Fixture Ln</t>
        </is>
      </c>
      <c r="X10" t="inlineStr">
        <is>
          <t>Berkeley</t>
        </is>
      </c>
      <c r="Y10" t="inlineStr">
        <is>
          <t>CA</t>
        </is>
      </c>
      <c r="Z10">
        <f>"94704"</f>
        <v/>
      </c>
      <c r="AA10" t="inlineStr">
        <is>
          <t>UNITED STATES OF AMERICA</t>
        </is>
      </c>
      <c r="AE10">
        <f>"541511"</f>
        <v/>
      </c>
      <c r="BP10" t="inlineStr">
        <is>
          <t>Berkeley</t>
        </is>
      </c>
      <c r="BR10" t="inlineStr">
        <is>
          <t>CA</t>
        </is>
      </c>
      <c r="BS10">
        <f>"94704"</f>
        <v/>
      </c>
      <c r="BT10" t="n">
        <v>190000</v>
      </c>
      <c r="BV10" t="inlineStr">
        <is>
          <t>Year</t>
        </is>
      </c>
      <c r="BW10" t="n">
        <v>171000</v>
      </c>
      <c r="BX10" t="inlineStr">
        <is>
          <t>Year</t>
        </is>
      </c>
      <c r="BZ10" t="inlineStr">
        <is>
          <t>II</t>
        </is>
      </c>
    </row>
    <row r="11">
      <c r="A11" t="inlineStr">
        <is>
          <t>I-200-24080-000010</t>
        </is>
      </c>
      <c r="B11" t="inlineStr">
        <is>
          <t>Certified</t>
        </is>
      </c>
      <c r="C11" s="1" t="n">
        <v>45371</v>
      </c>
      <c r="D11" s="1" t="n">
        <v>45378</v>
      </c>
      <c r="F11" t="inlineStr">
        <is>
          <t>H-1B</t>
        </is>
      </c>
      <c r="G11">
        <f>"Member of Technical Staff"</f>
        <v/>
      </c>
      <c r="H11">
        <f>"15-1299.08"</f>
        <v/>
      </c>
      <c r="I11" t="inlineStr">
        <is>
          <t>Computer Systems Engineers/Architects</t>
        </is>
      </c>
      <c r="J11" t="inlineStr">
        <is>
          <t>Y</t>
        </is>
      </c>
      <c r="K11" s="1" t="n">
        <v>45401</v>
      </c>
      <c r="M11" t="n">
        <v>1</v>
      </c>
      <c r="N11" t="n">
        <v>1</v>
      </c>
      <c r="O11" t="n">
        <v>0</v>
      </c>
      <c r="R11" t="n">
        <v>0</v>
      </c>
      <c r="T11" t="inlineStr">
        <is>
          <t>Nimbus Thistle AI, Inc.</t>
        </is>
      </c>
      <c r="U11">
        <f>"Thistle"</f>
        <v/>
      </c>
      <c r="V11" t="inlineStr">
        <is>
          <t>700 Fixture Ln</t>
        </is>
      </c>
      <c r="X11" t="inlineStr">
        <is>
          <t>Berkeley</t>
        </is>
      </c>
      <c r="Y11" t="inlineStr">
        <is>
          <t>CA</t>
        </is>
      </c>
      <c r="Z11">
        <f>"94704"</f>
        <v/>
      </c>
      <c r="AA11" t="inlineStr">
        <is>
          <t>UNITED STATES OF AMERICA</t>
        </is>
      </c>
      <c r="AE11">
        <f>"541511"</f>
        <v/>
      </c>
      <c r="BP11" t="inlineStr">
        <is>
          <t>Berkeley</t>
        </is>
      </c>
      <c r="BR11" t="inlineStr">
        <is>
          <t>CA</t>
        </is>
      </c>
      <c r="BS11">
        <f>"94704"</f>
        <v/>
      </c>
      <c r="BT11" t="n">
        <v>14000</v>
      </c>
      <c r="BV11" t="inlineStr">
        <is>
          <t>Month</t>
        </is>
      </c>
      <c r="BW11" t="n">
        <v>12600</v>
      </c>
      <c r="BX11" t="inlineStr">
        <is>
          <t>Month</t>
        </is>
      </c>
      <c r="BZ11" t="inlineStr">
        <is>
          <t>I</t>
        </is>
      </c>
    </row>
    <row r="12">
      <c r="A12" t="inlineStr">
        <is>
          <t>I-200-24050-000011</t>
        </is>
      </c>
      <c r="B12" t="inlineStr">
        <is>
          <t>Certified</t>
        </is>
      </c>
      <c r="C12" s="1" t="n">
        <v>45341</v>
      </c>
      <c r="D12" s="1" t="n">
        <v>45348</v>
      </c>
      <c r="F12" t="inlineStr">
        <is>
          <t>H-1B</t>
        </is>
      </c>
      <c r="G12">
        <f>"Research Scientist"</f>
        <v/>
      </c>
      <c r="H12">
        <f>"19-1042.00"</f>
        <v/>
      </c>
      <c r="I12" t="inlineStr">
        <is>
          <t>Medical Scientists</t>
        </is>
      </c>
      <c r="J12" t="inlineStr">
        <is>
          <t>Y</t>
        </is>
      </c>
      <c r="K12" s="1" t="n">
        <v>45371</v>
      </c>
      <c r="M12" t="n">
        <v>1</v>
      </c>
      <c r="N12" t="n">
        <v>1</v>
      </c>
      <c r="O12" t="n">
        <v>0</v>
      </c>
      <c r="R12" t="n">
        <v>0</v>
      </c>
      <c r="T12" t="inlineStr">
        <is>
          <t>Marrowgate Health Corporation</t>
        </is>
      </c>
      <c r="U12">
        <f>""</f>
        <v/>
      </c>
      <c r="V12" t="inlineStr">
        <is>
          <t>400 Fixture Blvd</t>
        </is>
      </c>
      <c r="X12" t="inlineStr">
        <is>
          <t>Palo Alto</t>
        </is>
      </c>
      <c r="Y12" t="inlineStr">
        <is>
          <t>CA</t>
        </is>
      </c>
      <c r="Z12">
        <f>"94301"</f>
        <v/>
      </c>
      <c r="AA12" t="inlineStr">
        <is>
          <t>UNITED STATES OF AMERICA</t>
        </is>
      </c>
      <c r="AE12">
        <f>"541714"</f>
        <v/>
      </c>
      <c r="BP12" t="inlineStr">
        <is>
          <t>Palo Alto</t>
        </is>
      </c>
      <c r="BR12" t="inlineStr">
        <is>
          <t>CA</t>
        </is>
      </c>
      <c r="BS12">
        <f>"94301"</f>
        <v/>
      </c>
      <c r="BT12" t="n">
        <v>128000</v>
      </c>
      <c r="BV12" t="inlineStr">
        <is>
          <t>Year</t>
        </is>
      </c>
      <c r="BW12" t="n">
        <v>115200</v>
      </c>
      <c r="BX12" t="inlineStr">
        <is>
          <t>Year</t>
        </is>
      </c>
      <c r="BZ12" t="inlineStr">
        <is>
          <t>II</t>
        </is>
      </c>
    </row>
    <row r="13">
      <c r="A13" t="inlineStr">
        <is>
          <t>I-200-24051-000012</t>
        </is>
      </c>
      <c r="B13" t="inlineStr">
        <is>
          <t>Certified</t>
        </is>
      </c>
      <c r="C13" s="1" t="n">
        <v>45342</v>
      </c>
      <c r="D13" s="1" t="n">
        <v>45349</v>
      </c>
      <c r="F13" t="inlineStr">
        <is>
          <t>H-1B</t>
        </is>
      </c>
      <c r="G13">
        <f>"Bioinformatics Data Analyst"</f>
        <v/>
      </c>
      <c r="H13">
        <f>"15-2041.00"</f>
        <v/>
      </c>
      <c r="I13" t="inlineStr">
        <is>
          <t>Statisticians</t>
        </is>
      </c>
      <c r="J13" t="inlineStr">
        <is>
          <t>Y</t>
        </is>
      </c>
      <c r="K13" s="1" t="n">
        <v>45372</v>
      </c>
      <c r="M13" t="n">
        <v>1</v>
      </c>
      <c r="N13" t="n">
        <v>1</v>
      </c>
      <c r="O13" t="n">
        <v>0</v>
      </c>
      <c r="R13" t="n">
        <v>0</v>
      </c>
      <c r="T13" t="inlineStr">
        <is>
          <t>Marrowgate Health Corporation</t>
        </is>
      </c>
      <c r="U13">
        <f>""</f>
        <v/>
      </c>
      <c r="V13" t="inlineStr">
        <is>
          <t>400 Fixture Blvd</t>
        </is>
      </c>
      <c r="X13" t="inlineStr">
        <is>
          <t>Palo Alto</t>
        </is>
      </c>
      <c r="Y13" t="inlineStr">
        <is>
          <t>CA</t>
        </is>
      </c>
      <c r="Z13">
        <f>"94301"</f>
        <v/>
      </c>
      <c r="AA13" t="inlineStr">
        <is>
          <t>UNITED STATES OF AMERICA</t>
        </is>
      </c>
      <c r="AE13">
        <f>"541714"</f>
        <v/>
      </c>
      <c r="BP13" t="inlineStr">
        <is>
          <t>Palo Alto</t>
        </is>
      </c>
      <c r="BR13" t="inlineStr">
        <is>
          <t>CA</t>
        </is>
      </c>
      <c r="BS13">
        <f>"94301"</f>
        <v/>
      </c>
      <c r="BT13" t="n">
        <v>3100</v>
      </c>
      <c r="BV13" t="inlineStr">
        <is>
          <t>Bi-Weekly</t>
        </is>
      </c>
      <c r="BW13" t="n">
        <v>2790</v>
      </c>
      <c r="BX13" t="inlineStr">
        <is>
          <t>Bi-Weekly</t>
        </is>
      </c>
      <c r="BZ13" t="inlineStr">
        <is>
          <t>I</t>
        </is>
      </c>
    </row>
    <row r="14">
      <c r="A14" t="inlineStr">
        <is>
          <t>I-200-24001-000013</t>
        </is>
      </c>
      <c r="B14" t="inlineStr">
        <is>
          <t>Certified</t>
        </is>
      </c>
      <c r="C14" s="1" t="n">
        <v>45294</v>
      </c>
      <c r="D14" s="1" t="n">
        <v>45301</v>
      </c>
      <c r="F14" t="inlineStr">
        <is>
          <t>H-1B</t>
        </is>
      </c>
      <c r="G14">
        <f>"Systems Analyst"</f>
        <v/>
      </c>
      <c r="H14">
        <f>"15-1211.00"</f>
        <v/>
      </c>
      <c r="I14" t="inlineStr">
        <is>
          <t>Computer Systems Analysts</t>
        </is>
      </c>
      <c r="J14" t="inlineStr">
        <is>
          <t>Y</t>
        </is>
      </c>
      <c r="K14" s="1" t="n">
        <v>45324</v>
      </c>
      <c r="M14" t="n">
        <v>1</v>
      </c>
      <c r="N14" t="n">
        <v>1</v>
      </c>
      <c r="O14" t="n">
        <v>0</v>
      </c>
      <c r="R14" t="n">
        <v>0</v>
      </c>
      <c r="T14" t="inlineStr">
        <is>
          <t>Ferrowmont Systems LLC</t>
        </is>
      </c>
      <c r="U14">
        <f>""</f>
        <v/>
      </c>
      <c r="V14" t="inlineStr">
        <is>
          <t>1 Fixture Plaza</t>
        </is>
      </c>
      <c r="X14" t="inlineStr">
        <is>
          <t>Seattle</t>
        </is>
      </c>
      <c r="Y14" t="inlineStr">
        <is>
          <t>WA</t>
        </is>
      </c>
      <c r="Z14">
        <f>"98101"</f>
        <v/>
      </c>
      <c r="AA14" t="inlineStr">
        <is>
          <t>UNITED STATES OF AMERICA</t>
        </is>
      </c>
      <c r="AE14">
        <f>"541512"</f>
        <v/>
      </c>
      <c r="BP14" t="inlineStr">
        <is>
          <t>Seattle</t>
        </is>
      </c>
      <c r="BR14" t="inlineStr">
        <is>
          <t>WA</t>
        </is>
      </c>
      <c r="BS14">
        <f>"98101"</f>
        <v/>
      </c>
      <c r="BT14" t="n">
        <v>98000</v>
      </c>
      <c r="BV14" t="inlineStr">
        <is>
          <t>Year</t>
        </is>
      </c>
      <c r="BW14" t="n">
        <v>88200</v>
      </c>
      <c r="BX14" t="inlineStr">
        <is>
          <t>Year</t>
        </is>
      </c>
      <c r="BZ14" t="inlineStr">
        <is>
          <t>I</t>
        </is>
      </c>
    </row>
    <row r="15">
      <c r="A15" t="inlineStr">
        <is>
          <t>I-200-24002-000014</t>
        </is>
      </c>
      <c r="B15" t="inlineStr">
        <is>
          <t>Certified</t>
        </is>
      </c>
      <c r="C15" s="1" t="n">
        <v>45295</v>
      </c>
      <c r="D15" s="1" t="n">
        <v>45302</v>
      </c>
      <c r="F15" t="inlineStr">
        <is>
          <t>H-1B</t>
        </is>
      </c>
      <c r="G15">
        <f>"Systems Analyst"</f>
        <v/>
      </c>
      <c r="H15">
        <f>"15-1211.00"</f>
        <v/>
      </c>
      <c r="I15" t="inlineStr">
        <is>
          <t>Computer Systems Analysts</t>
        </is>
      </c>
      <c r="J15" t="inlineStr">
        <is>
          <t>Y</t>
        </is>
      </c>
      <c r="K15" s="1" t="n">
        <v>45325</v>
      </c>
      <c r="M15" t="n">
        <v>1</v>
      </c>
      <c r="N15" t="n">
        <v>1</v>
      </c>
      <c r="O15" t="n">
        <v>0</v>
      </c>
      <c r="R15" t="n">
        <v>0</v>
      </c>
      <c r="T15" t="inlineStr">
        <is>
          <t>Ferrowmont Systems LLC</t>
        </is>
      </c>
      <c r="U15">
        <f>""</f>
        <v/>
      </c>
      <c r="V15" t="inlineStr">
        <is>
          <t>1 Fixture Plaza</t>
        </is>
      </c>
      <c r="X15" t="inlineStr">
        <is>
          <t>Seattle</t>
        </is>
      </c>
      <c r="Y15" t="inlineStr">
        <is>
          <t>WA</t>
        </is>
      </c>
      <c r="Z15">
        <f>"98101"</f>
        <v/>
      </c>
      <c r="AA15" t="inlineStr">
        <is>
          <t>UNITED STATES OF AMERICA</t>
        </is>
      </c>
      <c r="AE15">
        <f>"541512"</f>
        <v/>
      </c>
      <c r="BP15" t="inlineStr">
        <is>
          <t>Seattle</t>
        </is>
      </c>
      <c r="BR15" t="inlineStr">
        <is>
          <t>WA</t>
        </is>
      </c>
      <c r="BS15">
        <f>"98101"</f>
        <v/>
      </c>
      <c r="BT15" t="n">
        <v>99000</v>
      </c>
      <c r="BV15" t="inlineStr">
        <is>
          <t>Year</t>
        </is>
      </c>
      <c r="BW15" t="n">
        <v>89100</v>
      </c>
      <c r="BX15" t="inlineStr">
        <is>
          <t>Year</t>
        </is>
      </c>
      <c r="BZ15" t="inlineStr">
        <is>
          <t>I</t>
        </is>
      </c>
    </row>
    <row r="16">
      <c r="A16" t="inlineStr">
        <is>
          <t>I-200-24003-000015</t>
        </is>
      </c>
      <c r="B16" t="inlineStr">
        <is>
          <t>Certified</t>
        </is>
      </c>
      <c r="C16" s="1" t="n">
        <v>45296</v>
      </c>
      <c r="D16" s="1" t="n">
        <v>45303</v>
      </c>
      <c r="F16" t="inlineStr">
        <is>
          <t>H-1B</t>
        </is>
      </c>
      <c r="G16">
        <f>"Software Developer"</f>
        <v/>
      </c>
      <c r="H16">
        <f>"15-1252.00"</f>
        <v/>
      </c>
      <c r="I16" t="inlineStr">
        <is>
          <t>Software Developers</t>
        </is>
      </c>
      <c r="J16" t="inlineStr">
        <is>
          <t>Y</t>
        </is>
      </c>
      <c r="K16" s="1" t="n">
        <v>45326</v>
      </c>
      <c r="M16" t="n">
        <v>1</v>
      </c>
      <c r="N16" t="n">
        <v>1</v>
      </c>
      <c r="O16" t="n">
        <v>0</v>
      </c>
      <c r="R16" t="n">
        <v>0</v>
      </c>
      <c r="T16" t="inlineStr">
        <is>
          <t>Ferrowmont Systems LLC</t>
        </is>
      </c>
      <c r="U16">
        <f>""</f>
        <v/>
      </c>
      <c r="V16" t="inlineStr">
        <is>
          <t>1 Fixture Plaza</t>
        </is>
      </c>
      <c r="X16" t="inlineStr">
        <is>
          <t>Seattle</t>
        </is>
      </c>
      <c r="Y16" t="inlineStr">
        <is>
          <t>WA</t>
        </is>
      </c>
      <c r="Z16">
        <f>"98101"</f>
        <v/>
      </c>
      <c r="AA16" t="inlineStr">
        <is>
          <t>UNITED STATES OF AMERICA</t>
        </is>
      </c>
      <c r="AE16">
        <f>"541512"</f>
        <v/>
      </c>
      <c r="BP16" t="inlineStr">
        <is>
          <t>Seattle</t>
        </is>
      </c>
      <c r="BR16" t="inlineStr">
        <is>
          <t>WA</t>
        </is>
      </c>
      <c r="BS16">
        <f>"98101"</f>
        <v/>
      </c>
      <c r="BT16" t="n">
        <v>121000</v>
      </c>
      <c r="BV16" t="inlineStr">
        <is>
          <t>Year</t>
        </is>
      </c>
      <c r="BW16" t="n">
        <v>108900</v>
      </c>
      <c r="BX16" t="inlineStr">
        <is>
          <t>Year</t>
        </is>
      </c>
      <c r="BZ16" t="inlineStr">
        <is>
          <t>II</t>
        </is>
      </c>
    </row>
    <row r="17">
      <c r="A17" t="inlineStr">
        <is>
          <t>I-200-24004-000016</t>
        </is>
      </c>
      <c r="B17" t="inlineStr">
        <is>
          <t>Certified</t>
        </is>
      </c>
      <c r="C17" s="1" t="n">
        <v>45299</v>
      </c>
      <c r="D17" s="1" t="n">
        <v>45306</v>
      </c>
      <c r="F17" t="inlineStr">
        <is>
          <t>H-1B</t>
        </is>
      </c>
      <c r="G17">
        <f>"Accountant"</f>
        <v/>
      </c>
      <c r="H17">
        <f>"13-2011.00"</f>
        <v/>
      </c>
      <c r="I17" t="inlineStr">
        <is>
          <t>Accountants and Auditors</t>
        </is>
      </c>
      <c r="J17" t="inlineStr">
        <is>
          <t>Y</t>
        </is>
      </c>
      <c r="K17" s="1" t="n">
        <v>45329</v>
      </c>
      <c r="M17" t="n">
        <v>1</v>
      </c>
      <c r="N17" t="n">
        <v>1</v>
      </c>
      <c r="O17" t="n">
        <v>0</v>
      </c>
      <c r="R17" t="n">
        <v>0</v>
      </c>
      <c r="T17" t="inlineStr">
        <is>
          <t>Ferrowmont Systems LLC</t>
        </is>
      </c>
      <c r="U17">
        <f>""</f>
        <v/>
      </c>
      <c r="V17" t="inlineStr">
        <is>
          <t>1 Fixture Plaza</t>
        </is>
      </c>
      <c r="X17" t="inlineStr">
        <is>
          <t>Seattle</t>
        </is>
      </c>
      <c r="Y17" t="inlineStr">
        <is>
          <t>WA</t>
        </is>
      </c>
      <c r="Z17">
        <f>"98101"</f>
        <v/>
      </c>
      <c r="AA17" t="inlineStr">
        <is>
          <t>UNITED STATES OF AMERICA</t>
        </is>
      </c>
      <c r="AE17">
        <f>"541512"</f>
        <v/>
      </c>
      <c r="BP17" t="inlineStr">
        <is>
          <t>Seattle</t>
        </is>
      </c>
      <c r="BR17" t="inlineStr">
        <is>
          <t>WA</t>
        </is>
      </c>
      <c r="BS17">
        <f>"98101"</f>
        <v/>
      </c>
      <c r="BT17" t="n">
        <v>1650</v>
      </c>
      <c r="BV17" t="inlineStr">
        <is>
          <t>Week</t>
        </is>
      </c>
      <c r="BW17" t="n">
        <v>1485</v>
      </c>
      <c r="BX17" t="inlineStr">
        <is>
          <t>Week</t>
        </is>
      </c>
      <c r="BZ17" t="inlineStr">
        <is>
          <t>II</t>
        </is>
      </c>
    </row>
    <row r="18">
      <c r="A18" t="inlineStr">
        <is>
          <t>I-201-24005-000017</t>
        </is>
      </c>
      <c r="B18" t="inlineStr">
        <is>
          <t>Certified</t>
        </is>
      </c>
      <c r="C18" s="1" t="n">
        <v>45300</v>
      </c>
      <c r="D18" s="1" t="n">
        <v>45307</v>
      </c>
      <c r="F18" t="inlineStr">
        <is>
          <t>H-1B1 Chile</t>
        </is>
      </c>
      <c r="G18">
        <f>"Software Developer"</f>
        <v/>
      </c>
      <c r="H18">
        <f>"15-1252.00"</f>
        <v/>
      </c>
      <c r="I18" t="inlineStr">
        <is>
          <t>Software Developers</t>
        </is>
      </c>
      <c r="J18" t="inlineStr">
        <is>
          <t>Y</t>
        </is>
      </c>
      <c r="K18" s="1" t="n">
        <v>45330</v>
      </c>
      <c r="M18" t="n">
        <v>1</v>
      </c>
      <c r="N18" t="n">
        <v>1</v>
      </c>
      <c r="O18" t="n">
        <v>0</v>
      </c>
      <c r="R18" t="n">
        <v>0</v>
      </c>
      <c r="T18" t="inlineStr">
        <is>
          <t>Ferrowmont Systems LLC</t>
        </is>
      </c>
      <c r="U18">
        <f>""</f>
        <v/>
      </c>
      <c r="V18" t="inlineStr">
        <is>
          <t>1 Fixture Plaza</t>
        </is>
      </c>
      <c r="X18" t="inlineStr">
        <is>
          <t>Seattle</t>
        </is>
      </c>
      <c r="Y18" t="inlineStr">
        <is>
          <t>WA</t>
        </is>
      </c>
      <c r="Z18">
        <f>"98101"</f>
        <v/>
      </c>
      <c r="AA18" t="inlineStr">
        <is>
          <t>UNITED STATES OF AMERICA</t>
        </is>
      </c>
      <c r="AE18">
        <f>"541512"</f>
        <v/>
      </c>
      <c r="BP18" t="inlineStr">
        <is>
          <t>Seattle</t>
        </is>
      </c>
      <c r="BR18" t="inlineStr">
        <is>
          <t>WA</t>
        </is>
      </c>
      <c r="BS18">
        <f>"98101"</f>
        <v/>
      </c>
      <c r="BT18" t="n">
        <v>118000</v>
      </c>
      <c r="BV18" t="inlineStr">
        <is>
          <t>Year</t>
        </is>
      </c>
      <c r="BW18" t="n">
        <v>106200</v>
      </c>
      <c r="BX18" t="inlineStr">
        <is>
          <t>Year</t>
        </is>
      </c>
      <c r="BZ18" t="inlineStr">
        <is>
          <t>II</t>
        </is>
      </c>
    </row>
    <row r="19">
      <c r="A19" t="inlineStr">
        <is>
          <t>I-200-24006-000018</t>
        </is>
      </c>
      <c r="B19" t="inlineStr">
        <is>
          <t>Certified</t>
        </is>
      </c>
      <c r="C19" s="1" t="n">
        <v>45301</v>
      </c>
      <c r="D19" s="1" t="n">
        <v>45308</v>
      </c>
      <c r="F19" t="inlineStr">
        <is>
          <t>H-1B</t>
        </is>
      </c>
      <c r="G19">
        <f>"Software Developer"</f>
        <v/>
      </c>
      <c r="H19">
        <f>"15-1252.00"</f>
        <v/>
      </c>
      <c r="I19" t="inlineStr">
        <is>
          <t>Software Developers</t>
        </is>
      </c>
      <c r="J19" t="inlineStr">
        <is>
          <t>Y</t>
        </is>
      </c>
      <c r="K19" s="1" t="n">
        <v>45331</v>
      </c>
      <c r="M19" t="n">
        <v>1</v>
      </c>
      <c r="N19" t="n">
        <v>1</v>
      </c>
      <c r="O19" t="n">
        <v>0</v>
      </c>
      <c r="R19" t="n">
        <v>0</v>
      </c>
      <c r="T19" t="inlineStr">
        <is>
          <t>Ferrowmont Systems LLC</t>
        </is>
      </c>
      <c r="U19">
        <f>""</f>
        <v/>
      </c>
      <c r="V19" t="inlineStr">
        <is>
          <t>1 Fixture Plaza</t>
        </is>
      </c>
      <c r="X19" t="inlineStr">
        <is>
          <t>Seattle</t>
        </is>
      </c>
      <c r="Y19" t="inlineStr">
        <is>
          <t>WA</t>
        </is>
      </c>
      <c r="Z19">
        <f>"98101"</f>
        <v/>
      </c>
      <c r="AA19" t="inlineStr">
        <is>
          <t>UNITED STATES OF AMERICA</t>
        </is>
      </c>
      <c r="AE19">
        <f>"541512"</f>
        <v/>
      </c>
      <c r="BP19" t="inlineStr">
        <is>
          <t>Seattle</t>
        </is>
      </c>
      <c r="BR19" t="inlineStr">
        <is>
          <t>WA</t>
        </is>
      </c>
      <c r="BS19">
        <f>"98101"</f>
        <v/>
      </c>
      <c r="BT19" t="n">
        <v>5000000</v>
      </c>
      <c r="BV19" t="inlineStr">
        <is>
          <t>Year</t>
        </is>
      </c>
      <c r="BW19" t="n">
        <v>4500000</v>
      </c>
      <c r="BX19" t="inlineStr">
        <is>
          <t>Year</t>
        </is>
      </c>
      <c r="BZ19" t="inlineStr">
        <is>
          <t>II</t>
        </is>
      </c>
    </row>
    <row r="20">
      <c r="A20" t="inlineStr">
        <is>
          <t>I-200-24060-000019</t>
        </is>
      </c>
      <c r="B20" t="inlineStr">
        <is>
          <t>Certified</t>
        </is>
      </c>
      <c r="C20" s="1" t="n">
        <v>45352</v>
      </c>
      <c r="D20" s="1" t="n">
        <v>45359</v>
      </c>
      <c r="F20" t="inlineStr">
        <is>
          <t>H-1B</t>
        </is>
      </c>
      <c r="G20">
        <f>"Software Engineer"</f>
        <v/>
      </c>
      <c r="H20">
        <f>"15-1252.00"</f>
        <v/>
      </c>
      <c r="I20" t="inlineStr">
        <is>
          <t>Software Developers</t>
        </is>
      </c>
      <c r="J20" t="inlineStr">
        <is>
          <t>Y</t>
        </is>
      </c>
      <c r="K20" s="1" t="n">
        <v>45382</v>
      </c>
      <c r="M20" t="n">
        <v>1</v>
      </c>
      <c r="N20" t="n">
        <v>1</v>
      </c>
      <c r="O20" t="n">
        <v>0</v>
      </c>
      <c r="R20" t="n">
        <v>0</v>
      </c>
      <c r="T20" t="inlineStr">
        <is>
          <t>Brindlewood Software LLC</t>
        </is>
      </c>
      <c r="U20">
        <f>""</f>
        <v/>
      </c>
      <c r="V20" t="inlineStr">
        <is>
          <t>300 Fixture Ave</t>
        </is>
      </c>
      <c r="X20" t="inlineStr">
        <is>
          <t>Austin</t>
        </is>
      </c>
      <c r="Y20" t="inlineStr">
        <is>
          <t>TX</t>
        </is>
      </c>
      <c r="Z20">
        <f>"78701"</f>
        <v/>
      </c>
      <c r="AA20" t="inlineStr">
        <is>
          <t>UNITED STATES OF AMERICA</t>
        </is>
      </c>
      <c r="AE20">
        <f>"541511"</f>
        <v/>
      </c>
      <c r="BP20" t="inlineStr">
        <is>
          <t>Austin</t>
        </is>
      </c>
      <c r="BR20" t="inlineStr">
        <is>
          <t>TX</t>
        </is>
      </c>
      <c r="BS20">
        <f>"78701"</f>
        <v/>
      </c>
      <c r="BT20" t="n">
        <v>132000</v>
      </c>
      <c r="BV20" t="inlineStr">
        <is>
          <t>Year</t>
        </is>
      </c>
      <c r="BW20" t="n">
        <v>118800</v>
      </c>
      <c r="BX20" t="inlineStr">
        <is>
          <t>Year</t>
        </is>
      </c>
      <c r="BZ20" t="inlineStr">
        <is>
          <t>II</t>
        </is>
      </c>
    </row>
    <row r="21">
      <c r="A21" t="inlineStr">
        <is>
          <t>I-200-24085-000020</t>
        </is>
      </c>
      <c r="B21" t="inlineStr">
        <is>
          <t>Certified</t>
        </is>
      </c>
      <c r="C21" s="1" t="n">
        <v>45376</v>
      </c>
      <c r="D21" s="1" t="n">
        <v>45383</v>
      </c>
      <c r="F21" t="inlineStr">
        <is>
          <t>H-1B</t>
        </is>
      </c>
      <c r="G21">
        <f>"Software Engineer"</f>
        <v/>
      </c>
      <c r="H21">
        <f>"15-1252.00"</f>
        <v/>
      </c>
      <c r="I21" t="inlineStr">
        <is>
          <t>Software Developers</t>
        </is>
      </c>
      <c r="J21" t="inlineStr">
        <is>
          <t>Y</t>
        </is>
      </c>
      <c r="K21" s="1" t="n">
        <v>45406</v>
      </c>
      <c r="M21" t="n">
        <v>1</v>
      </c>
      <c r="N21" t="n">
        <v>1</v>
      </c>
      <c r="O21" t="n">
        <v>0</v>
      </c>
      <c r="R21" t="n">
        <v>0</v>
      </c>
      <c r="T21" t="inlineStr">
        <is>
          <t>Nimbus Thistle AI, Inc.</t>
        </is>
      </c>
      <c r="U21">
        <f>"Thistle"</f>
        <v/>
      </c>
      <c r="V21" t="inlineStr">
        <is>
          <t>700 Fixture Ln</t>
        </is>
      </c>
      <c r="X21" t="inlineStr">
        <is>
          <t>Berkeley</t>
        </is>
      </c>
      <c r="Y21" t="inlineStr">
        <is>
          <t>CA</t>
        </is>
      </c>
      <c r="Z21">
        <f>"94704"</f>
        <v/>
      </c>
      <c r="AA21" t="inlineStr">
        <is>
          <t>UNITED STATES OF AMERICA</t>
        </is>
      </c>
      <c r="AE21">
        <f>"541511"</f>
        <v/>
      </c>
      <c r="BP21" t="inlineStr">
        <is>
          <t>Berkeley</t>
        </is>
      </c>
      <c r="BR21" t="inlineStr">
        <is>
          <t>CA</t>
        </is>
      </c>
      <c r="BS21">
        <f>"94704"</f>
        <v/>
      </c>
      <c r="BT21" t="n">
        <v>176000</v>
      </c>
      <c r="BV21" t="inlineStr">
        <is>
          <t>Year</t>
        </is>
      </c>
      <c r="BW21" t="n">
        <v>158400</v>
      </c>
      <c r="BX21" t="inlineStr">
        <is>
          <t>Year</t>
        </is>
      </c>
      <c r="BZ21" t="inlineStr">
        <is>
          <t>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2026-10-08T06:53:36Z</dcterms:modified>
</cp:coreProperties>
</file>