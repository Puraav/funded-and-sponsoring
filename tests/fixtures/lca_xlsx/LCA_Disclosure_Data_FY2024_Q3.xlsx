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A_Disclosure_Data_FY2024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CASE_STATUS</t>
        </is>
      </c>
      <c r="C1" t="inlineStr">
        <is>
          <t>RECEIVED_DATE</t>
        </is>
      </c>
      <c r="D1" t="inlineStr">
        <is>
          <t>DECISION_DATE</t>
        </is>
      </c>
      <c r="E1" t="inlineStr">
        <is>
          <t>ORIGINAL_CERT_DATE</t>
        </is>
      </c>
      <c r="F1" t="inlineStr">
        <is>
          <t>VISA_CLASS</t>
        </is>
      </c>
      <c r="G1" t="inlineStr">
        <is>
          <t>JOB_TITLE</t>
        </is>
      </c>
      <c r="H1" t="inlineStr">
        <is>
          <t>SOC_CODE</t>
        </is>
      </c>
      <c r="I1" t="inlineStr">
        <is>
          <t>SOC_TITLE</t>
        </is>
      </c>
      <c r="J1" t="inlineStr">
        <is>
          <t>FULL_TIME_POSITION</t>
        </is>
      </c>
      <c r="K1" t="inlineStr">
        <is>
          <t>BEGIN_DATE</t>
        </is>
      </c>
      <c r="L1" t="inlineStr">
        <is>
          <t>END_DATE</t>
        </is>
      </c>
      <c r="M1" t="inlineStr">
        <is>
          <t>TOTAL_WORKER_POSITIONS</t>
        </is>
      </c>
      <c r="N1" t="inlineStr">
        <is>
          <t>NEW_EMPLOYMENT</t>
        </is>
      </c>
      <c r="O1" t="inlineStr">
        <is>
          <t>CONTINUED_EMPLOYMENT</t>
        </is>
      </c>
      <c r="P1" t="inlineStr">
        <is>
          <t>CHANGE_PREVIOUS_EMPLOYMENT</t>
        </is>
      </c>
      <c r="Q1" t="inlineStr">
        <is>
          <t>NEW_CONCURRENT_EMPLOYMENT</t>
        </is>
      </c>
      <c r="R1" t="inlineStr">
        <is>
          <t>CHANGE_EMPLOYER</t>
        </is>
      </c>
      <c r="S1" t="inlineStr">
        <is>
          <t>AMENDED_PETITION</t>
        </is>
      </c>
      <c r="T1" t="inlineStr">
        <is>
          <t>EMPLOYER_NAME</t>
        </is>
      </c>
      <c r="U1" t="inlineStr">
        <is>
          <t>TRADE_NAME_DBA</t>
        </is>
      </c>
      <c r="V1" t="inlineStr">
        <is>
          <t>EMPLOYER_ADDRESS1</t>
        </is>
      </c>
      <c r="W1" t="inlineStr">
        <is>
          <t>EMPLOYER_ADDRESS2</t>
        </is>
      </c>
      <c r="X1" t="inlineStr">
        <is>
          <t>EMPLOYER_CITY</t>
        </is>
      </c>
      <c r="Y1" t="inlineStr">
        <is>
          <t>EMPLOYER_STATE</t>
        </is>
      </c>
      <c r="Z1" t="inlineStr">
        <is>
          <t>EMPLOYER_POSTAL_CODE</t>
        </is>
      </c>
      <c r="AA1" t="inlineStr">
        <is>
          <t>EMPLOYER_COUNTRY</t>
        </is>
      </c>
      <c r="AB1" t="inlineStr">
        <is>
          <t>EMPLOYER_PROVINCE</t>
        </is>
      </c>
      <c r="AC1" t="inlineStr">
        <is>
          <t>EMPLOYER_PHONE</t>
        </is>
      </c>
      <c r="AD1" t="inlineStr">
        <is>
          <t>EMPLOYER_PHONE_EXT</t>
        </is>
      </c>
      <c r="AE1" t="inlineStr">
        <is>
          <t>NAICS_CODE</t>
        </is>
      </c>
      <c r="AF1" t="inlineStr">
        <is>
          <t>EMPLOYER_POC_LAST_NAME</t>
        </is>
      </c>
      <c r="AG1" t="inlineStr">
        <is>
          <t>EMPLOYER_POC_FIRST_NAME</t>
        </is>
      </c>
      <c r="AH1" t="inlineStr">
        <is>
          <t>EMPLOYER_POC_MIDDLE_NAME</t>
        </is>
      </c>
      <c r="AI1" t="inlineStr">
        <is>
          <t>EMPLOYER_POC_JOB_TITLE</t>
        </is>
      </c>
      <c r="AJ1" t="inlineStr">
        <is>
          <t>EMPLOYER_POC_ADDRESS1</t>
        </is>
      </c>
      <c r="AK1" t="inlineStr">
        <is>
          <t>EMPLOYER_POC_ADDRESS2</t>
        </is>
      </c>
      <c r="AL1" t="inlineStr">
        <is>
          <t>EMPLOYER_POC_CITY</t>
        </is>
      </c>
      <c r="AM1" t="inlineStr">
        <is>
          <t>EMPLOYER_POC_STATE</t>
        </is>
      </c>
      <c r="AN1" t="inlineStr">
        <is>
          <t>EMPLOYER_POC_POSTAL_CODE</t>
        </is>
      </c>
      <c r="AO1" t="inlineStr">
        <is>
          <t>EMPLOYER_POC_COUNTRY</t>
        </is>
      </c>
      <c r="AP1" t="inlineStr">
        <is>
          <t>EMPLOYER_POC_PROVINCE</t>
        </is>
      </c>
      <c r="AQ1" t="inlineStr">
        <is>
          <t>EMPLOYER_POC_PHONE</t>
        </is>
      </c>
      <c r="AR1" t="inlineStr">
        <is>
          <t>EMPLOYER_POC_PHONE_EXT</t>
        </is>
      </c>
      <c r="AS1" t="inlineStr">
        <is>
          <t>EMPLOYER_POC_EMAIL</t>
        </is>
      </c>
      <c r="AT1" t="inlineStr">
        <is>
          <t>AGENT_REPRESENTING_EMPLOYER</t>
        </is>
      </c>
      <c r="AU1" t="inlineStr">
        <is>
          <t>AGENT_ATTORNEY_LAST_NAME</t>
        </is>
      </c>
      <c r="AV1" t="inlineStr">
        <is>
          <t>AGENT_ATTORNEY_FIRST_NAME</t>
        </is>
      </c>
      <c r="AW1" t="inlineStr">
        <is>
          <t>AGENT_ATTORNEY_MIDDLE_NAME</t>
        </is>
      </c>
      <c r="AX1" t="inlineStr">
        <is>
          <t>AGENT_ATTORNEY_ADDRESS1</t>
        </is>
      </c>
      <c r="AY1" t="inlineStr">
        <is>
          <t>AGENT_ATTORNEY_ADDRESS2</t>
        </is>
      </c>
      <c r="AZ1" t="inlineStr">
        <is>
          <t>AGENT_ATTORNEY_CITY</t>
        </is>
      </c>
      <c r="BA1" t="inlineStr">
        <is>
          <t>AGENT_ATTORNEY_STATE</t>
        </is>
      </c>
      <c r="BB1" t="inlineStr">
        <is>
          <t>AGENT_ATTORNEY_POSTAL_CODE</t>
        </is>
      </c>
      <c r="BC1" t="inlineStr">
        <is>
          <t>AGENT_ATTORNEY_COUNTRY</t>
        </is>
      </c>
      <c r="BD1" t="inlineStr">
        <is>
          <t>AGENT_ATTORNEY_PROVINCE</t>
        </is>
      </c>
      <c r="BE1" t="inlineStr">
        <is>
          <t>AGENT_ATTORNEY_PHONE</t>
        </is>
      </c>
      <c r="BF1" t="inlineStr">
        <is>
          <t>AGENT_ATTORNEY_PHONE_EXT</t>
        </is>
      </c>
      <c r="BG1" t="inlineStr">
        <is>
          <t>AGENT_ATTORNEY_EMAIL_ADDRESS</t>
        </is>
      </c>
      <c r="BH1" t="inlineStr">
        <is>
          <t>LAWFIRM_NAME_BUSINESS_NAME</t>
        </is>
      </c>
      <c r="BI1" t="inlineStr">
        <is>
          <t>STATE_OF_HIGHEST_COURT</t>
        </is>
      </c>
      <c r="BJ1" t="inlineStr">
        <is>
          <t>NAME_OF_HIGHEST_STATE_COURT</t>
        </is>
      </c>
      <c r="BK1" t="inlineStr">
        <is>
          <t>WORKSITE_WORKERS</t>
        </is>
      </c>
      <c r="BL1" t="inlineStr">
        <is>
          <t>SECONDARY_ENTITY</t>
        </is>
      </c>
      <c r="BM1" t="inlineStr">
        <is>
          <t>SECONDARY_ENTITY_BUSINESS_NAME</t>
        </is>
      </c>
      <c r="BN1" t="inlineStr">
        <is>
          <t>WORKSITE_ADDRESS1</t>
        </is>
      </c>
      <c r="BO1" t="inlineStr">
        <is>
          <t>WORKSITE_ADDRESS2</t>
        </is>
      </c>
      <c r="BP1" t="inlineStr">
        <is>
          <t>WORKSITE_CITY</t>
        </is>
      </c>
      <c r="BQ1" t="inlineStr">
        <is>
          <t>WORKSITE_COUNTY</t>
        </is>
      </c>
      <c r="BR1" t="inlineStr">
        <is>
          <t>WORKSITE_STATE</t>
        </is>
      </c>
      <c r="BS1" t="inlineStr">
        <is>
          <t>WORKSITE_POSTAL_CODE</t>
        </is>
      </c>
      <c r="BT1" t="inlineStr">
        <is>
          <t>WAGE_RATE_OF_PAY_FROM</t>
        </is>
      </c>
      <c r="BU1" t="inlineStr">
        <is>
          <t>WAGE_RATE_OF_PAY_TO</t>
        </is>
      </c>
      <c r="BV1" t="inlineStr">
        <is>
          <t>WAGE_UNIT_OF_PAY</t>
        </is>
      </c>
      <c r="BW1" t="inlineStr">
        <is>
          <t>PREVAILING_WAGE</t>
        </is>
      </c>
      <c r="BX1" t="inlineStr">
        <is>
          <t>PW_UNIT_OF_PAY</t>
        </is>
      </c>
      <c r="BY1" t="inlineStr">
        <is>
          <t>PW_TRACKING_NUMBER</t>
        </is>
      </c>
      <c r="BZ1" t="inlineStr">
        <is>
          <t>PW_WAGE_LEVEL</t>
        </is>
      </c>
      <c r="CA1" t="inlineStr">
        <is>
          <t>PW_OES_YEAR</t>
        </is>
      </c>
      <c r="CB1" t="inlineStr">
        <is>
          <t>PW_OTHER_SOURCE</t>
        </is>
      </c>
      <c r="CC1" t="inlineStr">
        <is>
          <t>PW_OTHER_YEAR</t>
        </is>
      </c>
      <c r="CD1" t="inlineStr">
        <is>
          <t>PW_SURVEY_PUBLISHER</t>
        </is>
      </c>
      <c r="CE1" t="inlineStr">
        <is>
          <t>PW_SURVEY_NAME</t>
        </is>
      </c>
      <c r="CF1" t="inlineStr">
        <is>
          <t>TOTAL_WORKSITE_LOCATIONS</t>
        </is>
      </c>
      <c r="CG1" t="inlineStr">
        <is>
          <t>AGREE_TO_LC_STATEMENT</t>
        </is>
      </c>
      <c r="CH1" t="inlineStr">
        <is>
          <t>H_1B_DEPENDENT</t>
        </is>
      </c>
      <c r="CI1" t="inlineStr">
        <is>
          <t>WILLFUL_VIOLATOR</t>
        </is>
      </c>
      <c r="CJ1" t="inlineStr">
        <is>
          <t>SUPPORT_H1B</t>
        </is>
      </c>
      <c r="CK1" t="inlineStr">
        <is>
          <t>STATUTORY_BASIS</t>
        </is>
      </c>
      <c r="CL1" t="inlineStr">
        <is>
          <t>APPENDIX_A_ATTACHED</t>
        </is>
      </c>
      <c r="CM1" t="inlineStr">
        <is>
          <t>PUBLIC_DISCLOSURE</t>
        </is>
      </c>
      <c r="CN1" t="inlineStr">
        <is>
          <t>PREPARER_LAST_NAME</t>
        </is>
      </c>
      <c r="CO1" t="inlineStr">
        <is>
          <t>PREPARER_FIRST_NAME</t>
        </is>
      </c>
      <c r="CP1" t="inlineStr">
        <is>
          <t>PREPARER_MIDDLE_INITIAL</t>
        </is>
      </c>
      <c r="CQ1" t="inlineStr">
        <is>
          <t>PREPARER_BUSINESS_NAME</t>
        </is>
      </c>
      <c r="CR1" t="inlineStr">
        <is>
          <t>PREPARER_EMAIL</t>
        </is>
      </c>
    </row>
    <row r="2">
      <c r="A2" t="inlineStr">
        <is>
          <t>I-200-24085-000020</t>
        </is>
      </c>
      <c r="B2" t="inlineStr">
        <is>
          <t>Certified - Withdrawn</t>
        </is>
      </c>
      <c r="C2" s="1" t="n">
        <v>45376</v>
      </c>
      <c r="D2" s="1" t="n">
        <v>45402</v>
      </c>
      <c r="F2" t="inlineStr">
        <is>
          <t>H-1B</t>
        </is>
      </c>
      <c r="G2">
        <f>"Software Engineer"</f>
        <v/>
      </c>
      <c r="H2">
        <f>"15-1252.00"</f>
        <v/>
      </c>
      <c r="I2" t="inlineStr">
        <is>
          <t>Software Developers</t>
        </is>
      </c>
      <c r="J2" t="inlineStr">
        <is>
          <t>Y</t>
        </is>
      </c>
      <c r="K2" s="1" t="n">
        <v>45406</v>
      </c>
      <c r="M2" t="n">
        <v>1</v>
      </c>
      <c r="N2" t="n">
        <v>1</v>
      </c>
      <c r="O2" t="n">
        <v>0</v>
      </c>
      <c r="R2" t="n">
        <v>0</v>
      </c>
      <c r="T2" t="inlineStr">
        <is>
          <t>Nimbus Thistle AI, Inc.</t>
        </is>
      </c>
      <c r="U2">
        <f>"Thistle"</f>
        <v/>
      </c>
      <c r="V2" t="inlineStr">
        <is>
          <t>700 Fixture Ln</t>
        </is>
      </c>
      <c r="X2" t="inlineStr">
        <is>
          <t>Berkeley</t>
        </is>
      </c>
      <c r="Y2" t="inlineStr">
        <is>
          <t>CA</t>
        </is>
      </c>
      <c r="Z2">
        <f>"94704"</f>
        <v/>
      </c>
      <c r="AA2" t="inlineStr">
        <is>
          <t>UNITED STATES OF AMERICA</t>
        </is>
      </c>
      <c r="AE2">
        <f>"541511"</f>
        <v/>
      </c>
      <c r="BP2" t="inlineStr">
        <is>
          <t>Berkeley</t>
        </is>
      </c>
      <c r="BR2" t="inlineStr">
        <is>
          <t>CA</t>
        </is>
      </c>
      <c r="BS2">
        <f>"94704"</f>
        <v/>
      </c>
      <c r="BT2" t="n">
        <v>176000</v>
      </c>
      <c r="BV2" t="inlineStr">
        <is>
          <t>Year</t>
        </is>
      </c>
      <c r="BW2" t="n">
        <v>158400</v>
      </c>
      <c r="BX2" t="inlineStr">
        <is>
          <t>Year</t>
        </is>
      </c>
      <c r="BZ2" t="inlineStr">
        <is>
          <t>II</t>
        </is>
      </c>
    </row>
    <row r="3">
      <c r="A3" t="inlineStr">
        <is>
          <t>I-200-24100-000021</t>
        </is>
      </c>
      <c r="B3" t="inlineStr">
        <is>
          <t>Certified</t>
        </is>
      </c>
      <c r="C3" s="1" t="n">
        <v>45391</v>
      </c>
      <c r="D3" s="1" t="n">
        <v>45398</v>
      </c>
      <c r="F3" t="inlineStr">
        <is>
          <t>H-1B</t>
        </is>
      </c>
      <c r="G3">
        <f>"Product Manager"</f>
        <v/>
      </c>
      <c r="H3">
        <f>"15-1299.09"</f>
        <v/>
      </c>
      <c r="I3" t="inlineStr">
        <is>
          <t>Information Technology Project Managers</t>
        </is>
      </c>
      <c r="J3" t="inlineStr">
        <is>
          <t>Y</t>
        </is>
      </c>
      <c r="K3" s="1" t="n">
        <v>45421</v>
      </c>
      <c r="M3" t="n">
        <v>1</v>
      </c>
      <c r="N3" t="n">
        <v>1</v>
      </c>
      <c r="O3" t="n">
        <v>0</v>
      </c>
      <c r="R3" t="n">
        <v>0</v>
      </c>
      <c r="T3" t="inlineStr">
        <is>
          <t>Nimbus Thistle AI, Inc.</t>
        </is>
      </c>
      <c r="U3">
        <f>"Thistle"</f>
        <v/>
      </c>
      <c r="V3" t="inlineStr">
        <is>
          <t>700 Fixture Ln</t>
        </is>
      </c>
      <c r="X3" t="inlineStr">
        <is>
          <t>Berkeley</t>
        </is>
      </c>
      <c r="Y3" t="inlineStr">
        <is>
          <t>CA</t>
        </is>
      </c>
      <c r="Z3">
        <f>"94704"</f>
        <v/>
      </c>
      <c r="AA3" t="inlineStr">
        <is>
          <t>UNITED STATES OF AMERICA</t>
        </is>
      </c>
      <c r="AE3">
        <f>"541511"</f>
        <v/>
      </c>
      <c r="BP3" t="inlineStr">
        <is>
          <t>Berkeley</t>
        </is>
      </c>
      <c r="BR3" t="inlineStr">
        <is>
          <t>CA</t>
        </is>
      </c>
      <c r="BS3">
        <f>"94704"</f>
        <v/>
      </c>
      <c r="BT3" t="n">
        <v>168000</v>
      </c>
      <c r="BV3" t="inlineStr">
        <is>
          <t>Year</t>
        </is>
      </c>
      <c r="BW3" t="n">
        <v>151200</v>
      </c>
      <c r="BX3" t="inlineStr">
        <is>
          <t>Year</t>
        </is>
      </c>
      <c r="BZ3" t="inlineStr">
        <is>
          <t>II</t>
        </is>
      </c>
    </row>
    <row r="4">
      <c r="A4" t="inlineStr">
        <is>
          <t>I-200-24130-000022</t>
        </is>
      </c>
      <c r="B4" t="inlineStr">
        <is>
          <t>Certified</t>
        </is>
      </c>
      <c r="C4" s="1" t="n">
        <v>45421</v>
      </c>
      <c r="D4" s="1" t="n">
        <v>45428</v>
      </c>
      <c r="F4" t="inlineStr">
        <is>
          <t>H-1B</t>
        </is>
      </c>
      <c r="G4">
        <f>"Data Engineer"</f>
        <v/>
      </c>
      <c r="H4">
        <f>"15-1243.00"</f>
        <v/>
      </c>
      <c r="I4" t="inlineStr">
        <is>
          <t>Database Architects</t>
        </is>
      </c>
      <c r="J4" t="inlineStr">
        <is>
          <t>Y</t>
        </is>
      </c>
      <c r="K4" s="1" t="n">
        <v>45451</v>
      </c>
      <c r="M4" t="n">
        <v>1</v>
      </c>
      <c r="N4" t="n">
        <v>1</v>
      </c>
      <c r="O4" t="n">
        <v>0</v>
      </c>
      <c r="R4" t="n">
        <v>0</v>
      </c>
      <c r="T4" t="inlineStr">
        <is>
          <t>QUILLFERN ROBOTICS INC</t>
        </is>
      </c>
      <c r="U4">
        <f>""</f>
        <v/>
      </c>
      <c r="V4" t="inlineStr">
        <is>
          <t>100 Fixture St</t>
        </is>
      </c>
      <c r="X4" t="inlineStr">
        <is>
          <t>San Francisco</t>
        </is>
      </c>
      <c r="Y4" t="inlineStr">
        <is>
          <t>CA</t>
        </is>
      </c>
      <c r="Z4">
        <f>"94107"</f>
        <v/>
      </c>
      <c r="AA4" t="inlineStr">
        <is>
          <t>UNITED STATES OF AMERICA</t>
        </is>
      </c>
      <c r="AE4">
        <f>"541715"</f>
        <v/>
      </c>
      <c r="BP4" t="inlineStr">
        <is>
          <t>San Francisco</t>
        </is>
      </c>
      <c r="BR4" t="inlineStr">
        <is>
          <t>CA</t>
        </is>
      </c>
      <c r="BS4">
        <f>"94107"</f>
        <v/>
      </c>
      <c r="BT4" t="n">
        <v>158000</v>
      </c>
      <c r="BV4" t="inlineStr">
        <is>
          <t>Year</t>
        </is>
      </c>
      <c r="BW4" t="n">
        <v>142200</v>
      </c>
      <c r="BX4" t="inlineStr">
        <is>
          <t>Year</t>
        </is>
      </c>
      <c r="BZ4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2026-10-08T06:53:36Z</dcterms:modified>
</cp:coreProperties>
</file>