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CA_Disclosure_Data_FY2024_Q3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CASE_NUMBER</t>
        </is>
      </c>
      <c r="B1" t="inlineStr">
        <is>
          <t>CASE_STATUS</t>
        </is>
      </c>
      <c r="C1" t="inlineStr">
        <is>
          <t>RECEIVED_DATE</t>
        </is>
      </c>
      <c r="D1" t="inlineStr">
        <is>
          <t>DECISION_DATE</t>
        </is>
      </c>
      <c r="E1" t="inlineStr">
        <is>
          <t>ORIGINAL_CERT_DATE</t>
        </is>
      </c>
      <c r="F1" t="inlineStr">
        <is>
          <t>VISA_CLASS</t>
        </is>
      </c>
      <c r="G1" t="inlineStr">
        <is>
          <t>JOB_TITLE</t>
        </is>
      </c>
      <c r="H1" t="inlineStr">
        <is>
          <t>SOC_CODE</t>
        </is>
      </c>
      <c r="I1" t="inlineStr">
        <is>
          <t>SOC_TITLE</t>
        </is>
      </c>
      <c r="J1" t="inlineStr">
        <is>
          <t>FULL_TIME_POSITION</t>
        </is>
      </c>
      <c r="K1" t="inlineStr">
        <is>
          <t>BEGIN_DATE</t>
        </is>
      </c>
      <c r="L1" t="inlineStr">
        <is>
          <t>END_DATE</t>
        </is>
      </c>
      <c r="M1" t="inlineStr">
        <is>
          <t>TOTAL_WORKER_POSITIONS</t>
        </is>
      </c>
      <c r="N1" t="inlineStr">
        <is>
          <t>NEW_EMPLOYMENT</t>
        </is>
      </c>
      <c r="O1" t="inlineStr">
        <is>
          <t>CONTINUED_EMPLOYMENT</t>
        </is>
      </c>
      <c r="P1" t="inlineStr">
        <is>
          <t>CHANGE_PREVIOUS_EMPLOYMENT</t>
        </is>
      </c>
      <c r="Q1" t="inlineStr">
        <is>
          <t>NEW_CONCURRENT_EMPLOYMENT</t>
        </is>
      </c>
      <c r="R1" t="inlineStr">
        <is>
          <t>CHANGE_EMPLOYER</t>
        </is>
      </c>
      <c r="S1" t="inlineStr">
        <is>
          <t>AMENDED_PETITION</t>
        </is>
      </c>
      <c r="T1" t="inlineStr">
        <is>
          <t>EMPLOYER_NAME</t>
        </is>
      </c>
      <c r="U1" t="inlineStr">
        <is>
          <t>TRADE_NAME_DBA</t>
        </is>
      </c>
      <c r="V1" t="inlineStr">
        <is>
          <t>EMPLOYER_ADDRESS1</t>
        </is>
      </c>
      <c r="W1" t="inlineStr">
        <is>
          <t>EMPLOYER_ADDRESS2</t>
        </is>
      </c>
      <c r="X1" t="inlineStr">
        <is>
          <t>EMPLOYER_CITY</t>
        </is>
      </c>
      <c r="Y1" t="inlineStr">
        <is>
          <t>EMPLOYER_STATE</t>
        </is>
      </c>
      <c r="Z1" t="inlineStr">
        <is>
          <t>EMPLOYER_POSTAL_CODE</t>
        </is>
      </c>
      <c r="AA1" t="inlineStr">
        <is>
          <t>EMPLOYER_COUNTRY</t>
        </is>
      </c>
      <c r="AB1" t="inlineStr">
        <is>
          <t>EMPLOYER_PROVINCE</t>
        </is>
      </c>
      <c r="AC1" t="inlineStr">
        <is>
          <t>EMPLOYER_PHONE</t>
        </is>
      </c>
      <c r="AD1" t="inlineStr">
        <is>
          <t>EMPLOYER_PHONE_EXT</t>
        </is>
      </c>
      <c r="AE1" t="inlineStr">
        <is>
          <t>NAICS_CODE</t>
        </is>
      </c>
      <c r="AF1" t="inlineStr">
        <is>
          <t>EMPLOYER_POC_LAST_NAME</t>
        </is>
      </c>
      <c r="AG1" t="inlineStr">
        <is>
          <t>EMPLOYER_POC_FIRST_NAME</t>
        </is>
      </c>
      <c r="AH1" t="inlineStr">
        <is>
          <t>EMPLOYER_POC_MIDDLE_NAME</t>
        </is>
      </c>
      <c r="AI1" t="inlineStr">
        <is>
          <t>EMPLOYER_POC_JOB_TITLE</t>
        </is>
      </c>
      <c r="AJ1" t="inlineStr">
        <is>
          <t>EMPLOYER_POC_ADDRESS1</t>
        </is>
      </c>
      <c r="AK1" t="inlineStr">
        <is>
          <t>EMPLOYER_POC_ADDRESS2</t>
        </is>
      </c>
      <c r="AL1" t="inlineStr">
        <is>
          <t>EMPLOYER_POC_CITY</t>
        </is>
      </c>
      <c r="AM1" t="inlineStr">
        <is>
          <t>EMPLOYER_POC_STATE</t>
        </is>
      </c>
      <c r="AN1" t="inlineStr">
        <is>
          <t>EMPLOYER_POC_POSTAL_CODE</t>
        </is>
      </c>
      <c r="AO1" t="inlineStr">
        <is>
          <t>EMPLOYER_POC_COUNTRY</t>
        </is>
      </c>
      <c r="AP1" t="inlineStr">
        <is>
          <t>EMPLOYER_POC_PROVINCE</t>
        </is>
      </c>
      <c r="AQ1" t="inlineStr">
        <is>
          <t>EMPLOYER_POC_PHONE</t>
        </is>
      </c>
      <c r="AR1" t="inlineStr">
        <is>
          <t>EMPLOYER_POC_PHONE_EXT</t>
        </is>
      </c>
      <c r="AS1" t="inlineStr">
        <is>
          <t>EMPLOYER_POC_EMAIL</t>
        </is>
      </c>
      <c r="AT1" t="inlineStr">
        <is>
          <t>AGENT_REPRESENTING_EMPLOYER</t>
        </is>
      </c>
      <c r="AU1" t="inlineStr">
        <is>
          <t>AGENT_ATTORNEY_LAST_NAME</t>
        </is>
      </c>
      <c r="AV1" t="inlineStr">
        <is>
          <t>AGENT_ATTORNEY_FIRST_NAME</t>
        </is>
      </c>
      <c r="AW1" t="inlineStr">
        <is>
          <t>AGENT_ATTORNEY_MIDDLE_NAME</t>
        </is>
      </c>
      <c r="AX1" t="inlineStr">
        <is>
          <t>AGENT_ATTORNEY_ADDRESS1</t>
        </is>
      </c>
      <c r="AY1" t="inlineStr">
        <is>
          <t>AGENT_ATTORNEY_ADDRESS2</t>
        </is>
      </c>
      <c r="AZ1" t="inlineStr">
        <is>
          <t>AGENT_ATTORNEY_CITY</t>
        </is>
      </c>
      <c r="BA1" t="inlineStr">
        <is>
          <t>AGENT_ATTORNEY_STATE</t>
        </is>
      </c>
      <c r="BB1" t="inlineStr">
        <is>
          <t>AGENT_ATTORNEY_POSTAL_CODE</t>
        </is>
      </c>
      <c r="BC1" t="inlineStr">
        <is>
          <t>AGENT_ATTORNEY_COUNTRY</t>
        </is>
      </c>
      <c r="BD1" t="inlineStr">
        <is>
          <t>AGENT_ATTORNEY_PROVINCE</t>
        </is>
      </c>
      <c r="BE1" t="inlineStr">
        <is>
          <t>AGENT_ATTORNEY_PHONE</t>
        </is>
      </c>
      <c r="BF1" t="inlineStr">
        <is>
          <t>AGENT_ATTORNEY_PHONE_EXT</t>
        </is>
      </c>
      <c r="BG1" t="inlineStr">
        <is>
          <t>AGENT_ATTORNEY_EMAIL_ADDRESS</t>
        </is>
      </c>
      <c r="BH1" t="inlineStr">
        <is>
          <t>LAWFIRM_NAME_BUSINESS_NAME</t>
        </is>
      </c>
      <c r="BI1" t="inlineStr">
        <is>
          <t>STATE_OF_HIGHEST_COURT</t>
        </is>
      </c>
      <c r="BJ1" t="inlineStr">
        <is>
          <t>NAME_OF_HIGHEST_STATE_COURT</t>
        </is>
      </c>
      <c r="BK1" t="inlineStr">
        <is>
          <t>WORKSITE_WORKERS</t>
        </is>
      </c>
      <c r="BL1" t="inlineStr">
        <is>
          <t>SECONDARY_ENTITY</t>
        </is>
      </c>
      <c r="BM1" t="inlineStr">
        <is>
          <t>SECONDARY_ENTITY_BUSINESS_NAME</t>
        </is>
      </c>
      <c r="BN1" t="inlineStr">
        <is>
          <t>WORKSITE_ADDRESS1</t>
        </is>
      </c>
      <c r="BO1" t="inlineStr">
        <is>
          <t>WORKSITE_ADDRESS2</t>
        </is>
      </c>
      <c r="BP1" t="inlineStr">
        <is>
          <t>WORKSITE_CITY</t>
        </is>
      </c>
      <c r="BQ1" t="inlineStr">
        <is>
          <t>WORKSITE_COUNTY</t>
        </is>
      </c>
      <c r="BR1" t="inlineStr">
        <is>
          <t>WORKSITE_STATE</t>
        </is>
      </c>
      <c r="BS1" t="inlineStr">
        <is>
          <t>WORKSITE_POSTAL_CODE</t>
        </is>
      </c>
      <c r="BT1" t="inlineStr">
        <is>
          <t>WAGE_RATE_OF_PAY_FROM</t>
        </is>
      </c>
      <c r="BU1" t="inlineStr">
        <is>
          <t>WAGE_RATE_OF_PAY_TO</t>
        </is>
      </c>
      <c r="BV1" t="inlineStr">
        <is>
          <t>WAGE_UNIT_OF_PAY</t>
        </is>
      </c>
      <c r="BW1" t="inlineStr">
        <is>
          <t>PREVAILING_WAGE</t>
        </is>
      </c>
      <c r="BX1" t="inlineStr">
        <is>
          <t>PW_UNIT_OF_PAY</t>
        </is>
      </c>
      <c r="BY1" t="inlineStr">
        <is>
          <t>PW_TRACKING_NUMBER</t>
        </is>
      </c>
      <c r="BZ1" t="inlineStr">
        <is>
          <t>PW_WAGE_LEVEL</t>
        </is>
      </c>
      <c r="CA1" t="inlineStr">
        <is>
          <t>PW_OES_YEAR</t>
        </is>
      </c>
      <c r="CB1" t="inlineStr">
        <is>
          <t>PW_OTHER_SOURCE</t>
        </is>
      </c>
      <c r="CC1" t="inlineStr">
        <is>
          <t>PW_OTHER_YEAR</t>
        </is>
      </c>
      <c r="CD1" t="inlineStr">
        <is>
          <t>PW_SURVEY_PUBLISHER</t>
        </is>
      </c>
      <c r="CE1" t="inlineStr">
        <is>
          <t>PW_SURVEY_NAME</t>
        </is>
      </c>
      <c r="CF1" t="inlineStr">
        <is>
          <t>TOTAL_WORKSITE_LOCATIONS</t>
        </is>
      </c>
      <c r="CG1" t="inlineStr">
        <is>
          <t>AGREE_TO_LC_STATEMENT</t>
        </is>
      </c>
      <c r="CH1" t="inlineStr">
        <is>
          <t>H_1B_DEPENDENT</t>
        </is>
      </c>
      <c r="CI1" t="inlineStr">
        <is>
          <t>WILLFUL_VIOLATOR</t>
        </is>
      </c>
      <c r="CJ1" t="inlineStr">
        <is>
          <t>SUPPORT_H1B</t>
        </is>
      </c>
      <c r="CK1" t="inlineStr">
        <is>
          <t>STATUTORY_BASIS</t>
        </is>
      </c>
      <c r="CL1" t="inlineStr">
        <is>
          <t>APPENDIX_A_ATTACHED</t>
        </is>
      </c>
      <c r="CM1" t="inlineStr">
        <is>
          <t>PUBLIC_DISCLOSURE</t>
        </is>
      </c>
      <c r="CN1" t="inlineStr">
        <is>
          <t>PREPARER_LAST_NAME</t>
        </is>
      </c>
      <c r="CO1" t="inlineStr">
        <is>
          <t>PREPARER_FIRST_NAME</t>
        </is>
      </c>
      <c r="CP1" t="inlineStr">
        <is>
          <t>PREPARER_MIDDLE_INITIAL</t>
        </is>
      </c>
      <c r="CQ1" t="inlineStr">
        <is>
          <t>PREPARER_BUSINESS_NAME</t>
        </is>
      </c>
      <c r="CR1" t="inlineStr">
        <is>
          <t>PREPARER_EMAIL</t>
        </is>
      </c>
    </row>
    <row r="2">
      <c r="A2" t="inlineStr">
        <is>
          <t>I-200-24085-000020</t>
        </is>
      </c>
      <c r="B2" t="inlineStr">
        <is>
          <t>Certified - Withdrawn</t>
        </is>
      </c>
      <c r="C2" s="1" t="n">
        <v>45376</v>
      </c>
      <c r="D2" s="1" t="n">
        <v>45402</v>
      </c>
      <c r="F2" t="inlineStr">
        <is>
          <t>H-1B</t>
        </is>
      </c>
      <c r="G2">
        <f>"Software Engineer"</f>
        <v/>
      </c>
      <c r="H2">
        <f>"15-1252.00"</f>
        <v/>
      </c>
      <c r="I2" t="inlineStr">
        <is>
          <t>Software Developers</t>
        </is>
      </c>
      <c r="J2" t="inlineStr">
        <is>
          <t>Y</t>
        </is>
      </c>
      <c r="K2" s="1" t="n">
        <v>45406</v>
      </c>
      <c r="M2" t="n">
        <v>1</v>
      </c>
      <c r="N2" t="n">
        <v>1</v>
      </c>
      <c r="O2" t="n">
        <v>0</v>
      </c>
      <c r="R2" t="n">
        <v>0</v>
      </c>
      <c r="T2" t="inlineStr">
        <is>
          <t>Nimbus Thistle AI, Inc.</t>
        </is>
      </c>
      <c r="U2">
        <f>"Thistle"</f>
        <v/>
      </c>
      <c r="V2" t="inlineStr">
        <is>
          <t>700 Fixture Ln</t>
        </is>
      </c>
      <c r="X2" t="inlineStr">
        <is>
          <t>Berkeley</t>
        </is>
      </c>
      <c r="Y2" t="inlineStr">
        <is>
          <t>CA</t>
        </is>
      </c>
      <c r="Z2">
        <f>"94704"</f>
        <v/>
      </c>
      <c r="AA2" t="inlineStr">
        <is>
          <t>UNITED STATES OF AMERICA</t>
        </is>
      </c>
      <c r="AE2">
        <f>"541511"</f>
        <v/>
      </c>
      <c r="BP2" t="inlineStr">
        <is>
          <t>Berkeley</t>
        </is>
      </c>
      <c r="BR2" t="inlineStr">
        <is>
          <t>CA</t>
        </is>
      </c>
      <c r="BS2">
        <f>"94704"</f>
        <v/>
      </c>
      <c r="BT2" t="n">
        <v>176000</v>
      </c>
      <c r="BV2" t="inlineStr">
        <is>
          <t>Year</t>
        </is>
      </c>
      <c r="BW2" t="n">
        <v>158400</v>
      </c>
      <c r="BX2" t="inlineStr">
        <is>
          <t>Year</t>
        </is>
      </c>
      <c r="BZ2" t="inlineStr">
        <is>
          <t>II</t>
        </is>
      </c>
    </row>
    <row r="3">
      <c r="A3" t="inlineStr">
        <is>
          <t>I-200-24100-000021</t>
        </is>
      </c>
      <c r="B3" t="inlineStr">
        <is>
          <t>Certified</t>
        </is>
      </c>
      <c r="C3" s="1" t="n">
        <v>45391</v>
      </c>
      <c r="D3" s="1" t="n">
        <v>45398</v>
      </c>
      <c r="F3" t="inlineStr">
        <is>
          <t>H-1B</t>
        </is>
      </c>
      <c r="G3">
        <f>"Product Manager"</f>
        <v/>
      </c>
      <c r="H3">
        <f>"15-1299.09"</f>
        <v/>
      </c>
      <c r="I3" t="inlineStr">
        <is>
          <t>Information Technology Project Managers</t>
        </is>
      </c>
      <c r="J3" t="inlineStr">
        <is>
          <t>Y</t>
        </is>
      </c>
      <c r="K3" s="1" t="n">
        <v>45421</v>
      </c>
      <c r="M3" t="n">
        <v>1</v>
      </c>
      <c r="N3" t="n">
        <v>1</v>
      </c>
      <c r="O3" t="n">
        <v>0</v>
      </c>
      <c r="R3" t="n">
        <v>0</v>
      </c>
      <c r="T3" t="inlineStr">
        <is>
          <t>Nimbus Thistle AI, Inc.</t>
        </is>
      </c>
      <c r="U3">
        <f>"Thistle"</f>
        <v/>
      </c>
      <c r="V3" t="inlineStr">
        <is>
          <t>700 Fixture Ln</t>
        </is>
      </c>
      <c r="X3" t="inlineStr">
        <is>
          <t>Berkeley</t>
        </is>
      </c>
      <c r="Y3" t="inlineStr">
        <is>
          <t>CA</t>
        </is>
      </c>
      <c r="Z3">
        <f>"94704"</f>
        <v/>
      </c>
      <c r="AA3" t="inlineStr">
        <is>
          <t>UNITED STATES OF AMERICA</t>
        </is>
      </c>
      <c r="AE3">
        <f>"541511"</f>
        <v/>
      </c>
      <c r="BP3" t="inlineStr">
        <is>
          <t>Berkeley</t>
        </is>
      </c>
      <c r="BR3" t="inlineStr">
        <is>
          <t>CA</t>
        </is>
      </c>
      <c r="BS3">
        <f>"94704"</f>
        <v/>
      </c>
      <c r="BT3" t="n">
        <v>168000</v>
      </c>
      <c r="BV3" t="inlineStr">
        <is>
          <t>Year</t>
        </is>
      </c>
      <c r="BW3" t="n">
        <v>151200</v>
      </c>
      <c r="BX3" t="inlineStr">
        <is>
          <t>Year</t>
        </is>
      </c>
      <c r="BZ3" t="inlineStr">
        <is>
          <t>II</t>
        </is>
      </c>
    </row>
    <row r="4">
      <c r="A4" t="inlineStr">
        <is>
          <t>I-200-24130-000022</t>
        </is>
      </c>
      <c r="B4" t="inlineStr">
        <is>
          <t>Certified</t>
        </is>
      </c>
      <c r="C4" s="1" t="n">
        <v>45421</v>
      </c>
      <c r="D4" s="1" t="n">
        <v>45428</v>
      </c>
      <c r="F4" t="inlineStr">
        <is>
          <t>H-1B</t>
        </is>
      </c>
      <c r="G4">
        <f>"Data Engineer"</f>
        <v/>
      </c>
      <c r="H4">
        <f>"15-1243.00"</f>
        <v/>
      </c>
      <c r="I4" t="inlineStr">
        <is>
          <t>Database Architects</t>
        </is>
      </c>
      <c r="J4" t="inlineStr">
        <is>
          <t>Y</t>
        </is>
      </c>
      <c r="K4" s="1" t="n">
        <v>45451</v>
      </c>
      <c r="M4" t="n">
        <v>1</v>
      </c>
      <c r="N4" t="n">
        <v>1</v>
      </c>
      <c r="O4" t="n">
        <v>0</v>
      </c>
      <c r="R4" t="n">
        <v>0</v>
      </c>
      <c r="T4" t="inlineStr">
        <is>
          <t>QUILLFERN ROBOTICS INC</t>
        </is>
      </c>
      <c r="U4">
        <f>""</f>
        <v/>
      </c>
      <c r="V4" t="inlineStr">
        <is>
          <t>100 Fixture St</t>
        </is>
      </c>
      <c r="X4" t="inlineStr">
        <is>
          <t>San Francisco</t>
        </is>
      </c>
      <c r="Y4" t="inlineStr">
        <is>
          <t>CA</t>
        </is>
      </c>
      <c r="Z4">
        <f>"94107"</f>
        <v/>
      </c>
      <c r="AA4" t="inlineStr">
        <is>
          <t>UNITED STATES OF AMERICA</t>
        </is>
      </c>
      <c r="AE4">
        <f>"541715"</f>
        <v/>
      </c>
      <c r="BP4" t="inlineStr">
        <is>
          <t>San Francisco</t>
        </is>
      </c>
      <c r="BR4" t="inlineStr">
        <is>
          <t>CA</t>
        </is>
      </c>
      <c r="BS4">
        <f>"94107"</f>
        <v/>
      </c>
      <c r="BT4" t="n">
        <v>158000</v>
      </c>
      <c r="BV4" t="inlineStr">
        <is>
          <t>Year</t>
        </is>
      </c>
      <c r="BW4" t="n">
        <v>142200</v>
      </c>
      <c r="BX4" t="inlineStr">
        <is>
          <t>Year</t>
        </is>
      </c>
      <c r="BZ4" t="inlineStr">
        <is>
          <t>II</t>
        </is>
      </c>
    </row>
    <row r="5">
      <c r="A5" t="inlineStr">
        <is>
          <t>I-200-24140-000023</t>
        </is>
      </c>
      <c r="B5" t="inlineStr">
        <is>
          <t>Certified</t>
        </is>
      </c>
      <c r="C5" s="1" t="n">
        <v>45432</v>
      </c>
      <c r="D5" s="1" t="n">
        <v>45439</v>
      </c>
      <c r="F5" t="inlineStr">
        <is>
          <t>H-1B</t>
        </is>
      </c>
      <c r="G5">
        <f>"Firmware Engineer"</f>
        <v/>
      </c>
      <c r="H5">
        <f>"17-2061.00"</f>
        <v/>
      </c>
      <c r="I5" t="inlineStr">
        <is>
          <t>Computer Hardware Engineers</t>
        </is>
      </c>
      <c r="J5" t="inlineStr">
        <is>
          <t>Y</t>
        </is>
      </c>
      <c r="K5" s="1" t="n">
        <v>45462</v>
      </c>
      <c r="M5" t="n">
        <v>1</v>
      </c>
      <c r="N5" t="n">
        <v>1</v>
      </c>
      <c r="O5" t="n">
        <v>0</v>
      </c>
      <c r="R5" t="n">
        <v>0</v>
      </c>
      <c r="T5" t="inlineStr">
        <is>
          <t>Quillfern Robotics Inc.</t>
        </is>
      </c>
      <c r="U5">
        <f>""</f>
        <v/>
      </c>
      <c r="V5" t="inlineStr">
        <is>
          <t>5 Dock Rd</t>
        </is>
      </c>
      <c r="X5" t="inlineStr">
        <is>
          <t>Oakland</t>
        </is>
      </c>
      <c r="Y5" t="inlineStr">
        <is>
          <t>CA</t>
        </is>
      </c>
      <c r="Z5">
        <f>"94612"</f>
        <v/>
      </c>
      <c r="AA5" t="inlineStr">
        <is>
          <t>UNITED STATES OF AMERICA</t>
        </is>
      </c>
      <c r="AE5">
        <f>"541715"</f>
        <v/>
      </c>
      <c r="BP5" t="inlineStr">
        <is>
          <t>Oakland</t>
        </is>
      </c>
      <c r="BR5" t="inlineStr">
        <is>
          <t>CA</t>
        </is>
      </c>
      <c r="BS5">
        <f>"94612"</f>
        <v/>
      </c>
      <c r="BT5" t="n">
        <v>149000</v>
      </c>
      <c r="BV5" t="inlineStr">
        <is>
          <t>Year</t>
        </is>
      </c>
      <c r="BW5" t="n">
        <v>134100</v>
      </c>
      <c r="BX5" t="inlineStr">
        <is>
          <t>Year</t>
        </is>
      </c>
      <c r="BZ5" t="inlineStr">
        <is>
          <t>II</t>
        </is>
      </c>
    </row>
    <row r="6">
      <c r="A6" t="inlineStr">
        <is>
          <t>I-200-24141-000024</t>
        </is>
      </c>
      <c r="B6" t="inlineStr">
        <is>
          <t>Certified</t>
        </is>
      </c>
      <c r="C6" s="1" t="n">
        <v>45433</v>
      </c>
      <c r="D6" s="1" t="n">
        <v>45440</v>
      </c>
      <c r="F6" t="inlineStr">
        <is>
          <t>H-1B</t>
        </is>
      </c>
      <c r="G6">
        <f>"Lab Operations Manager"</f>
        <v/>
      </c>
      <c r="H6">
        <f>"11-9121.00"</f>
        <v/>
      </c>
      <c r="I6" t="inlineStr">
        <is>
          <t>Natural Sciences Managers</t>
        </is>
      </c>
      <c r="J6" t="inlineStr">
        <is>
          <t>Y</t>
        </is>
      </c>
      <c r="K6" s="1" t="n">
        <v>45463</v>
      </c>
      <c r="M6" t="n">
        <v>1</v>
      </c>
      <c r="N6" t="n">
        <v>1</v>
      </c>
      <c r="O6" t="n">
        <v>0</v>
      </c>
      <c r="R6" t="n">
        <v>0</v>
      </c>
      <c r="T6" t="inlineStr">
        <is>
          <t>Marrowgate Health</t>
        </is>
      </c>
      <c r="U6">
        <f>""</f>
        <v/>
      </c>
      <c r="V6" t="inlineStr">
        <is>
          <t>9 Sunset Blvd</t>
        </is>
      </c>
      <c r="X6" t="inlineStr">
        <is>
          <t>Los Angeles</t>
        </is>
      </c>
      <c r="Y6" t="inlineStr">
        <is>
          <t>CA</t>
        </is>
      </c>
      <c r="Z6">
        <f>"90012"</f>
        <v/>
      </c>
      <c r="AA6" t="inlineStr">
        <is>
          <t>UNITED STATES OF AMERICA</t>
        </is>
      </c>
      <c r="AE6">
        <f>"541714"</f>
        <v/>
      </c>
      <c r="BP6" t="inlineStr">
        <is>
          <t>Los Angeles</t>
        </is>
      </c>
      <c r="BR6" t="inlineStr">
        <is>
          <t>CA</t>
        </is>
      </c>
      <c r="BS6">
        <f>"90012"</f>
        <v/>
      </c>
      <c r="BT6" t="n">
        <v>140000</v>
      </c>
      <c r="BV6" t="inlineStr">
        <is>
          <t>Year</t>
        </is>
      </c>
      <c r="BW6" t="n">
        <v>126000</v>
      </c>
      <c r="BX6" t="inlineStr">
        <is>
          <t>Year</t>
        </is>
      </c>
      <c r="BZ6" t="inlineStr">
        <is>
          <t>III</t>
        </is>
      </c>
    </row>
    <row r="7">
      <c r="A7" t="inlineStr">
        <is>
          <t>I-200-24142-000025</t>
        </is>
      </c>
      <c r="B7" t="inlineStr">
        <is>
          <t>Certified</t>
        </is>
      </c>
      <c r="C7" s="1" t="n">
        <v>45434</v>
      </c>
      <c r="D7" s="1" t="n">
        <v>45441</v>
      </c>
      <c r="F7" t="inlineStr">
        <is>
          <t>H-1B</t>
        </is>
      </c>
      <c r="G7">
        <f>"Controls Engineer"</f>
        <v/>
      </c>
      <c r="H7">
        <f>"17-2071.00"</f>
        <v/>
      </c>
      <c r="I7" t="inlineStr">
        <is>
          <t>Electrical Engineers</t>
        </is>
      </c>
      <c r="J7" t="inlineStr">
        <is>
          <t>Y</t>
        </is>
      </c>
      <c r="K7" s="1" t="n">
        <v>45464</v>
      </c>
      <c r="M7" t="n">
        <v>1</v>
      </c>
      <c r="N7" t="n">
        <v>1</v>
      </c>
      <c r="O7" t="n">
        <v>0</v>
      </c>
      <c r="R7" t="n">
        <v>0</v>
      </c>
      <c r="T7" t="inlineStr">
        <is>
          <t>Quillfern Robotic Inc</t>
        </is>
      </c>
      <c r="U7">
        <f>""</f>
        <v/>
      </c>
      <c r="V7" t="inlineStr">
        <is>
          <t>7 Fixture St</t>
        </is>
      </c>
      <c r="X7" t="inlineStr">
        <is>
          <t>San Francisco</t>
        </is>
      </c>
      <c r="Y7" t="inlineStr">
        <is>
          <t>CA</t>
        </is>
      </c>
      <c r="Z7">
        <f>"94105"</f>
        <v/>
      </c>
      <c r="AA7" t="inlineStr">
        <is>
          <t>UNITED STATES OF AMERICA</t>
        </is>
      </c>
      <c r="AE7">
        <f>"541715"</f>
        <v/>
      </c>
      <c r="BP7" t="inlineStr">
        <is>
          <t>San Francisco</t>
        </is>
      </c>
      <c r="BR7" t="inlineStr">
        <is>
          <t>CA</t>
        </is>
      </c>
      <c r="BS7">
        <f>"94105"</f>
        <v/>
      </c>
      <c r="BT7" t="n">
        <v>145000</v>
      </c>
      <c r="BV7" t="inlineStr">
        <is>
          <t>Year</t>
        </is>
      </c>
      <c r="BW7" t="n">
        <v>130500</v>
      </c>
      <c r="BX7" t="inlineStr">
        <is>
          <t>Year</t>
        </is>
      </c>
      <c r="BZ7" t="inlineStr">
        <is>
          <t>II</t>
        </is>
      </c>
    </row>
    <row r="8">
      <c r="A8" t="inlineStr">
        <is>
          <t>I-200-24143-000026</t>
        </is>
      </c>
      <c r="B8" t="inlineStr">
        <is>
          <t>Certified</t>
        </is>
      </c>
      <c r="C8" s="1" t="n">
        <v>45435</v>
      </c>
      <c r="D8" s="1" t="n">
        <v>45442</v>
      </c>
      <c r="F8" t="inlineStr">
        <is>
          <t>H-1B</t>
        </is>
      </c>
      <c r="G8">
        <f>"Software Engineer"</f>
        <v/>
      </c>
      <c r="H8">
        <f>"15-1252.00"</f>
        <v/>
      </c>
      <c r="I8" t="inlineStr">
        <is>
          <t>Software Developers</t>
        </is>
      </c>
      <c r="J8" t="inlineStr">
        <is>
          <t>Y</t>
        </is>
      </c>
      <c r="K8" s="1" t="n">
        <v>45465</v>
      </c>
      <c r="M8" t="n">
        <v>1</v>
      </c>
      <c r="N8" t="n">
        <v>1</v>
      </c>
      <c r="O8" t="n">
        <v>0</v>
      </c>
      <c r="R8" t="n">
        <v>0</v>
      </c>
      <c r="T8" t="inlineStr">
        <is>
          <t>Nova Inc</t>
        </is>
      </c>
      <c r="U8">
        <f>""</f>
        <v/>
      </c>
      <c r="V8" t="inlineStr">
        <is>
          <t>1 Venice Way</t>
        </is>
      </c>
      <c r="X8" t="inlineStr">
        <is>
          <t>Los Angeles</t>
        </is>
      </c>
      <c r="Y8" t="inlineStr">
        <is>
          <t>CA</t>
        </is>
      </c>
      <c r="Z8">
        <f>"90291"</f>
        <v/>
      </c>
      <c r="AA8" t="inlineStr">
        <is>
          <t>UNITED STATES OF AMERICA</t>
        </is>
      </c>
      <c r="AE8">
        <f>"541511"</f>
        <v/>
      </c>
      <c r="BP8" t="inlineStr">
        <is>
          <t>Los Angeles</t>
        </is>
      </c>
      <c r="BR8" t="inlineStr">
        <is>
          <t>CA</t>
        </is>
      </c>
      <c r="BS8">
        <f>"90291"</f>
        <v/>
      </c>
      <c r="BT8" t="n">
        <v>130000</v>
      </c>
      <c r="BV8" t="inlineStr">
        <is>
          <t>Year</t>
        </is>
      </c>
      <c r="BW8" t="n">
        <v>117000</v>
      </c>
      <c r="BX8" t="inlineStr">
        <is>
          <t>Year</t>
        </is>
      </c>
      <c r="BZ8" t="inlineStr">
        <is>
          <t>II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2024-01-01T00:00:00Z</dcterms:created>
  <dcterms:modified xmlns:dcterms="http://purl.org/dc/terms/" xmlns:xsi="http://www.w3.org/2001/XMLSchema-instance" xsi:type="dcterms:W3CDTF">2026-10-09T07:20:24Z</dcterms:modified>
</cp:coreProperties>
</file>